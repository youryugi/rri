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RMoT\zenodo\MERV-Jp_2_0\"/>
    </mc:Choice>
  </mc:AlternateContent>
  <xr:revisionPtr revIDLastSave="0" documentId="13_ncr:1_{0DDE67D2-337F-4A85-A61E-05203DA6BF17}" xr6:coauthVersionLast="47" xr6:coauthVersionMax="47" xr10:uidLastSave="{00000000-0000-0000-0000-000000000000}"/>
  <bookViews>
    <workbookView xWindow="768" yWindow="852" windowWidth="21636" windowHeight="11232" xr2:uid="{00000000-000D-0000-FFFF-FFFF00000000}"/>
  </bookViews>
  <sheets>
    <sheet name="basin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39" i="2" l="1"/>
  <c r="P138" i="2" l="1"/>
  <c r="P133" i="2"/>
  <c r="P109" i="2"/>
  <c r="P101" i="2"/>
  <c r="P75" i="2"/>
  <c r="P49" i="2"/>
  <c r="P48" i="2"/>
  <c r="P41" i="2"/>
  <c r="P33" i="2"/>
  <c r="P30" i="2"/>
  <c r="P137" i="2"/>
  <c r="P136" i="2"/>
  <c r="P135" i="2"/>
  <c r="P134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8" i="2"/>
  <c r="P107" i="2"/>
  <c r="P106" i="2"/>
  <c r="P105" i="2"/>
  <c r="P104" i="2"/>
  <c r="P103" i="2"/>
  <c r="P102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7" i="2"/>
  <c r="P46" i="2"/>
  <c r="P45" i="2"/>
  <c r="P44" i="2"/>
  <c r="P43" i="2"/>
  <c r="P42" i="2"/>
  <c r="P40" i="2"/>
  <c r="P39" i="2"/>
  <c r="P38" i="2"/>
  <c r="P37" i="2"/>
  <c r="P36" i="2"/>
  <c r="P35" i="2"/>
  <c r="P34" i="2"/>
  <c r="P32" i="2"/>
  <c r="P31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</calcChain>
</file>

<file path=xl/sharedStrings.xml><?xml version="1.0" encoding="utf-8"?>
<sst xmlns="http://schemas.openxmlformats.org/spreadsheetml/2006/main" count="603" uniqueCount="442">
  <si>
    <t>GRDC-No.</t>
  </si>
  <si>
    <t>River</t>
  </si>
  <si>
    <t>Next station</t>
  </si>
  <si>
    <t>Catch area (km2)</t>
  </si>
  <si>
    <t>TESHIO GAWA</t>
  </si>
  <si>
    <t>ISHIKARI-GAWA</t>
  </si>
  <si>
    <t>SORACHI-GAWA</t>
  </si>
  <si>
    <t>YUBARI-GAWA</t>
  </si>
  <si>
    <t>SHIRIBETSU-GAWA</t>
  </si>
  <si>
    <t>MU KAWA</t>
  </si>
  <si>
    <t>SARU GAWA</t>
  </si>
  <si>
    <t>ABASHIRI GAWA</t>
  </si>
  <si>
    <t>TOKORO GAWA</t>
  </si>
  <si>
    <t>YUBETSU GAWA</t>
  </si>
  <si>
    <t>TOKACHI GAWA</t>
  </si>
  <si>
    <t>TOSHIBETSU GAWA</t>
  </si>
  <si>
    <t>KUMANO-GAWA</t>
  </si>
  <si>
    <t>KISO-GAWA</t>
  </si>
  <si>
    <t>IBI-GAWA</t>
  </si>
  <si>
    <t>NAGARA-GAWA</t>
  </si>
  <si>
    <t>TENRYU-GAWA</t>
  </si>
  <si>
    <t>FUJI KAWA</t>
  </si>
  <si>
    <t>FUEFUKI-GAWA</t>
  </si>
  <si>
    <t>ARA KAWA</t>
  </si>
  <si>
    <t>TONE-GAWA</t>
  </si>
  <si>
    <t>OMOI-GAWA</t>
  </si>
  <si>
    <t>WATARASE-GAWA</t>
  </si>
  <si>
    <t>KARASU GAWA</t>
  </si>
  <si>
    <t>AGATSUMA GAWA</t>
  </si>
  <si>
    <t>MABECHI-GAWA</t>
  </si>
  <si>
    <t>NARUSE GAWA</t>
  </si>
  <si>
    <t>NATORI GAWA</t>
  </si>
  <si>
    <t>TAMA GAWA</t>
  </si>
  <si>
    <t>KUJI-GAWA</t>
  </si>
  <si>
    <t>ABUKUMA GAWA</t>
  </si>
  <si>
    <t>SHIROISHI GAWA</t>
  </si>
  <si>
    <t>KITAKAMI GAWA</t>
  </si>
  <si>
    <t>SARUGAISHI GAWA</t>
  </si>
  <si>
    <t>HONNAI GAWA</t>
  </si>
  <si>
    <t>EAI GAWA</t>
  </si>
  <si>
    <t>KANO GAWA</t>
  </si>
  <si>
    <t>ABE KAWA</t>
  </si>
  <si>
    <t>OI GAWA</t>
  </si>
  <si>
    <t>MIYA-KAWA</t>
  </si>
  <si>
    <t>YOSHII GAWA</t>
  </si>
  <si>
    <t>GONO KAWA</t>
  </si>
  <si>
    <t>HIME-KAWA</t>
  </si>
  <si>
    <t>KUROBE GAWA</t>
  </si>
  <si>
    <t>SHO GAWA</t>
  </si>
  <si>
    <t>SEKI-GAWA</t>
  </si>
  <si>
    <t>ASHIDA GAWA</t>
  </si>
  <si>
    <t>ASAHI GAWA</t>
  </si>
  <si>
    <t>KINO KAWA</t>
  </si>
  <si>
    <t>YAMATO GAWA</t>
  </si>
  <si>
    <t>KAKO GAWA</t>
  </si>
  <si>
    <t>IBO GAWA</t>
  </si>
  <si>
    <t>KUZURYU GAWA</t>
  </si>
  <si>
    <t>JINZU GAWA</t>
  </si>
  <si>
    <t>YURA-GAWA</t>
  </si>
  <si>
    <t>MARUYAMA-GAWA</t>
  </si>
  <si>
    <t>SHINANO GAWA</t>
  </si>
  <si>
    <t>UONO GAWA</t>
  </si>
  <si>
    <t>SAI GAWA</t>
  </si>
  <si>
    <t>AGANO GAWA</t>
  </si>
  <si>
    <t>IWAKI GAWA</t>
  </si>
  <si>
    <t>KOYOSHI GAWA</t>
  </si>
  <si>
    <t>AKA GAWA</t>
  </si>
  <si>
    <t>MOGAMI GAWA</t>
  </si>
  <si>
    <t>KYUOMONO GAWA</t>
  </si>
  <si>
    <t>YONESHIRO GAWA</t>
  </si>
  <si>
    <t>CHIKUGO GAWA</t>
  </si>
  <si>
    <t>ONGA GAWA</t>
  </si>
  <si>
    <t>MATSUURA GAWA</t>
  </si>
  <si>
    <t>KIKUCHI GAWA</t>
  </si>
  <si>
    <t>SENDAI GAWA</t>
  </si>
  <si>
    <t>KUMA GAWA</t>
  </si>
  <si>
    <t>OYODO GAWA</t>
  </si>
  <si>
    <t>SHIMANTO GAWA</t>
  </si>
  <si>
    <t>NIYODO-GAWA</t>
  </si>
  <si>
    <t>SHIGENOBU-GAWA</t>
  </si>
  <si>
    <t>HIJI-KAWA</t>
  </si>
  <si>
    <t>NAKA GAWA</t>
  </si>
  <si>
    <t>YOSHINO GAWA</t>
  </si>
  <si>
    <t>Station</t>
  </si>
  <si>
    <t>Data years</t>
    <phoneticPr fontId="18"/>
  </si>
  <si>
    <t>天塩川</t>
  </si>
  <si>
    <t>MARUYAMA</t>
  </si>
  <si>
    <t>円山</t>
  </si>
  <si>
    <t>PONPIRA</t>
  </si>
  <si>
    <t>誉平</t>
  </si>
  <si>
    <t>BIFUKA-BASHI</t>
  </si>
  <si>
    <t>美深橋</t>
  </si>
  <si>
    <t>NAYORO-OHASHI</t>
  </si>
  <si>
    <t>名寄大橋</t>
  </si>
  <si>
    <t>石狩川</t>
  </si>
  <si>
    <t>ISHIKARI-OHASHI</t>
  </si>
  <si>
    <t>石狩大橋</t>
  </si>
  <si>
    <t>TSUKIGATA</t>
  </si>
  <si>
    <t>月形</t>
  </si>
  <si>
    <t>HASHIMOTOCHO</t>
  </si>
  <si>
    <t>橋本町</t>
  </si>
  <si>
    <t>OSAMUNAI</t>
  </si>
  <si>
    <t>納内</t>
  </si>
  <si>
    <t>INO</t>
  </si>
  <si>
    <t>伊納</t>
  </si>
  <si>
    <t>空知川</t>
  </si>
  <si>
    <t>AKABIRA</t>
  </si>
  <si>
    <t>赤平</t>
  </si>
  <si>
    <t>夕張川</t>
  </si>
  <si>
    <t>KIYOHORO-BASHI</t>
  </si>
  <si>
    <t>清幌橋</t>
  </si>
  <si>
    <t>尻別川</t>
  </si>
  <si>
    <t>NAKOMA</t>
  </si>
  <si>
    <t>名駒</t>
  </si>
  <si>
    <t>鵡川</t>
  </si>
  <si>
    <t>MUKAWA</t>
  </si>
  <si>
    <t>沙流川</t>
  </si>
  <si>
    <t>BIRATORI</t>
  </si>
  <si>
    <t>平取</t>
  </si>
  <si>
    <t>網走川</t>
  </si>
  <si>
    <t>HONGO</t>
  </si>
  <si>
    <t>本郷</t>
  </si>
  <si>
    <t>常呂川</t>
  </si>
  <si>
    <t>KITAMI</t>
  </si>
  <si>
    <t>北見</t>
  </si>
  <si>
    <t>湧別川</t>
  </si>
  <si>
    <t>KAISEI</t>
  </si>
  <si>
    <t>開盛</t>
  </si>
  <si>
    <t>十勝川</t>
  </si>
  <si>
    <t>MOIWA</t>
  </si>
  <si>
    <t>茂岩</t>
  </si>
  <si>
    <t>OBIHIRO</t>
  </si>
  <si>
    <t>帯広</t>
  </si>
  <si>
    <t>KYOEI-BASHI</t>
  </si>
  <si>
    <t>共栄橋</t>
  </si>
  <si>
    <t>利別川</t>
  </si>
  <si>
    <t>TOSHIBETSU</t>
  </si>
  <si>
    <t>利別</t>
  </si>
  <si>
    <t>熊野川</t>
  </si>
  <si>
    <t>OGA</t>
  </si>
  <si>
    <t>相賀</t>
  </si>
  <si>
    <t>木曽川</t>
  </si>
  <si>
    <t>INUYAMA</t>
  </si>
  <si>
    <t>犬山</t>
  </si>
  <si>
    <t>揖斐川</t>
  </si>
  <si>
    <t>MANGOKU</t>
  </si>
  <si>
    <t>万石</t>
  </si>
  <si>
    <t>長良川</t>
  </si>
  <si>
    <t>SUNOMATA</t>
  </si>
  <si>
    <t>墨俣</t>
  </si>
  <si>
    <t>CHUSETSU</t>
  </si>
  <si>
    <t>忠節</t>
  </si>
  <si>
    <t>天竜川</t>
  </si>
  <si>
    <t>KASHIMA</t>
  </si>
  <si>
    <t>鹿島</t>
  </si>
  <si>
    <t>INA</t>
  </si>
  <si>
    <t>伊那</t>
  </si>
  <si>
    <t>MIYAGASE</t>
  </si>
  <si>
    <t>宮ケ瀬</t>
  </si>
  <si>
    <t>富士川</t>
  </si>
  <si>
    <t>KITAMATSUNO</t>
  </si>
  <si>
    <t>北松野</t>
  </si>
  <si>
    <t>SHIMIZUBATA</t>
  </si>
  <si>
    <t>清水端</t>
  </si>
  <si>
    <t>FUNAYAMA-BASHI</t>
  </si>
  <si>
    <t>富山橋</t>
  </si>
  <si>
    <t>笛吹川</t>
  </si>
  <si>
    <t>TORINKYO</t>
  </si>
  <si>
    <t>桃林橋</t>
  </si>
  <si>
    <t>荒川</t>
  </si>
  <si>
    <t>OASHI-BASHI</t>
  </si>
  <si>
    <t>大芦橋</t>
  </si>
  <si>
    <t>YORII</t>
  </si>
  <si>
    <t>寄居</t>
  </si>
  <si>
    <t>利根川</t>
  </si>
  <si>
    <t>KURIHASHI</t>
  </si>
  <si>
    <t>栗橋</t>
  </si>
  <si>
    <t>布川</t>
  </si>
  <si>
    <t>KAWAMATA</t>
  </si>
  <si>
    <t>川俣</t>
  </si>
  <si>
    <t>FUTTO</t>
  </si>
  <si>
    <t>古戸</t>
  </si>
  <si>
    <t>YATTAJIMA</t>
  </si>
  <si>
    <t>八斗島</t>
  </si>
  <si>
    <t>IWAMOTO</t>
  </si>
  <si>
    <t>岩本</t>
  </si>
  <si>
    <t>思川</t>
  </si>
  <si>
    <t>OTOME</t>
  </si>
  <si>
    <t>乙女</t>
  </si>
  <si>
    <t>渡良瀬川</t>
  </si>
  <si>
    <t>FUJIOKA</t>
  </si>
  <si>
    <t>藤岡</t>
  </si>
  <si>
    <t>烏川</t>
  </si>
  <si>
    <t>IWAHANA</t>
  </si>
  <si>
    <t>岩鼻</t>
  </si>
  <si>
    <t>吾妻川</t>
  </si>
  <si>
    <t>MURAKAMI</t>
  </si>
  <si>
    <t>村上</t>
  </si>
  <si>
    <t>馬淵川</t>
  </si>
  <si>
    <t>KEN-YOSHI</t>
  </si>
  <si>
    <t>剣吉</t>
  </si>
  <si>
    <t>鳴瀬川</t>
  </si>
  <si>
    <t>NODA-BASHI</t>
  </si>
  <si>
    <t>野田橋</t>
  </si>
  <si>
    <t>名取川</t>
  </si>
  <si>
    <t>NATORI-BASHI</t>
  </si>
  <si>
    <t>名取橋</t>
  </si>
  <si>
    <t>多摩川</t>
  </si>
  <si>
    <t>ISHIHARA</t>
  </si>
  <si>
    <t>石原</t>
  </si>
  <si>
    <t>久慈川</t>
  </si>
  <si>
    <t>SAKAKI-BASHI</t>
  </si>
  <si>
    <t>榊橋</t>
  </si>
  <si>
    <t>阿武隈川</t>
  </si>
  <si>
    <t>TATEYAMA</t>
  </si>
  <si>
    <t>舘矢間</t>
  </si>
  <si>
    <t>FUSHIGURO</t>
  </si>
  <si>
    <t>伏黒</t>
  </si>
  <si>
    <t>MOTOMIYA</t>
  </si>
  <si>
    <t>本宮</t>
  </si>
  <si>
    <t>SUKAGAWA</t>
  </si>
  <si>
    <t>須賀川</t>
  </si>
  <si>
    <t>白石川</t>
  </si>
  <si>
    <t>FUNAOKA-OHASHI</t>
  </si>
  <si>
    <t>船岡大橋</t>
  </si>
  <si>
    <t>北上川</t>
  </si>
  <si>
    <t>TOME</t>
  </si>
  <si>
    <t>登米</t>
  </si>
  <si>
    <t>OIZUMI</t>
  </si>
  <si>
    <t>大泉</t>
  </si>
  <si>
    <t>KOZENJI</t>
  </si>
  <si>
    <t>狐禅寺</t>
  </si>
  <si>
    <t>SAKURAGI-BASHI</t>
  </si>
  <si>
    <t>桜木橋</t>
  </si>
  <si>
    <t>OTOKOYAMA</t>
  </si>
  <si>
    <t>男山</t>
  </si>
  <si>
    <t>ASAHI-BASHI</t>
  </si>
  <si>
    <t>朝日橋</t>
  </si>
  <si>
    <t>FUNADA-BASHI</t>
  </si>
  <si>
    <t>船田橋</t>
  </si>
  <si>
    <t>猿ヶ石川</t>
  </si>
  <si>
    <t>YASUNO</t>
  </si>
  <si>
    <t>安野</t>
  </si>
  <si>
    <t>本内川/和賀川</t>
  </si>
  <si>
    <t>HIROOMOTE</t>
  </si>
  <si>
    <t>広表</t>
  </si>
  <si>
    <t>江合川</t>
  </si>
  <si>
    <t>ARAO</t>
  </si>
  <si>
    <t>荒雄</t>
  </si>
  <si>
    <t>狩野川</t>
  </si>
  <si>
    <t>TOKURA</t>
  </si>
  <si>
    <t>徳倉</t>
  </si>
  <si>
    <t>安倍川</t>
  </si>
  <si>
    <t>TEGOSHI</t>
  </si>
  <si>
    <t>手越</t>
  </si>
  <si>
    <t>大井川</t>
  </si>
  <si>
    <t>KANZA</t>
  </si>
  <si>
    <t>神座</t>
  </si>
  <si>
    <t>宮川</t>
  </si>
  <si>
    <t>IWADE</t>
  </si>
  <si>
    <t>岩出</t>
  </si>
  <si>
    <t>吉井川</t>
  </si>
  <si>
    <t>TSUSE</t>
  </si>
  <si>
    <t>津瀬</t>
  </si>
  <si>
    <t>MIYASU</t>
  </si>
  <si>
    <t>御休</t>
  </si>
  <si>
    <t>江の川</t>
  </si>
  <si>
    <t>KAWAHIRA</t>
  </si>
  <si>
    <t>川平</t>
  </si>
  <si>
    <t>TSUGA</t>
  </si>
  <si>
    <t>都賀</t>
  </si>
  <si>
    <t>OZEKIYAMA</t>
  </si>
  <si>
    <t>尾関山</t>
  </si>
  <si>
    <t>姫川</t>
  </si>
  <si>
    <t>YAMAMOTO</t>
  </si>
  <si>
    <t>山本</t>
  </si>
  <si>
    <t>黒部川</t>
  </si>
  <si>
    <t>UNAZUKI</t>
  </si>
  <si>
    <t>宇奈月</t>
  </si>
  <si>
    <t>庄川</t>
  </si>
  <si>
    <t>DAIMON</t>
  </si>
  <si>
    <t>大門</t>
  </si>
  <si>
    <t>TSUZURAYAMA</t>
  </si>
  <si>
    <t>葛籠山</t>
  </si>
  <si>
    <t>関川</t>
  </si>
  <si>
    <t>TAKADA</t>
  </si>
  <si>
    <t>高田</t>
  </si>
  <si>
    <t>芦田川</t>
  </si>
  <si>
    <t>YAMATE</t>
  </si>
  <si>
    <t>山手</t>
  </si>
  <si>
    <t>旭川</t>
  </si>
  <si>
    <t>MAKIYAMA</t>
  </si>
  <si>
    <t>牧山</t>
  </si>
  <si>
    <t>紀の川</t>
  </si>
  <si>
    <t>FUNATO</t>
  </si>
  <si>
    <t>船戸</t>
  </si>
  <si>
    <t>MITANI</t>
  </si>
  <si>
    <t>三谷</t>
  </si>
  <si>
    <t>大和川</t>
  </si>
  <si>
    <t>KASHIWARA</t>
  </si>
  <si>
    <t>柏原</t>
  </si>
  <si>
    <t>加古川</t>
  </si>
  <si>
    <t>KUNIKANE</t>
  </si>
  <si>
    <t>国包</t>
  </si>
  <si>
    <t>揖保川</t>
  </si>
  <si>
    <t>KAMIGAWARA</t>
  </si>
  <si>
    <t>上川原</t>
  </si>
  <si>
    <t>九頭竜川</t>
  </si>
  <si>
    <t>NAKATSUNO</t>
  </si>
  <si>
    <t>中角</t>
  </si>
  <si>
    <t>神通川</t>
  </si>
  <si>
    <t>JINTSU-OHASHI</t>
  </si>
  <si>
    <t>神通大橋</t>
  </si>
  <si>
    <t>由良川</t>
  </si>
  <si>
    <t>FUKUCHIYAMA</t>
  </si>
  <si>
    <t>福知山</t>
  </si>
  <si>
    <t>円山川</t>
  </si>
  <si>
    <t>FUICHIBA</t>
  </si>
  <si>
    <t>府市場</t>
  </si>
  <si>
    <t>信濃川</t>
  </si>
  <si>
    <t>OJIYA</t>
  </si>
  <si>
    <t>小千谷</t>
  </si>
  <si>
    <t>IWASAWA</t>
  </si>
  <si>
    <t>岩沢</t>
  </si>
  <si>
    <t>TATEGAHANA</t>
  </si>
  <si>
    <t>立ヶ花</t>
  </si>
  <si>
    <t>KUISEGE</t>
  </si>
  <si>
    <t>杭瀬下</t>
  </si>
  <si>
    <t>IKUTA</t>
  </si>
  <si>
    <t>生田</t>
  </si>
  <si>
    <t>魚野川</t>
  </si>
  <si>
    <t>HORINOUCHI</t>
  </si>
  <si>
    <t>堀之内</t>
  </si>
  <si>
    <t>犀川</t>
  </si>
  <si>
    <t>KOICHI</t>
  </si>
  <si>
    <t>小市</t>
  </si>
  <si>
    <t>阿賀野川</t>
  </si>
  <si>
    <t>MAOROSHI</t>
  </si>
  <si>
    <t>馬下</t>
  </si>
  <si>
    <t>YAMASHINA</t>
  </si>
  <si>
    <t>山科</t>
  </si>
  <si>
    <t>OYA</t>
  </si>
  <si>
    <t>小谷</t>
  </si>
  <si>
    <t>岩木川</t>
  </si>
  <si>
    <t>GOSHOGAWARA</t>
  </si>
  <si>
    <t>五所川原</t>
  </si>
  <si>
    <t>子吉川</t>
  </si>
  <si>
    <t>TODOROKI-BASHI</t>
  </si>
  <si>
    <t>二十六木橋</t>
  </si>
  <si>
    <t>赤川</t>
  </si>
  <si>
    <t>HAMANAKA</t>
  </si>
  <si>
    <t>浜中</t>
  </si>
  <si>
    <t>最上川</t>
  </si>
  <si>
    <t>TAKAYA</t>
  </si>
  <si>
    <t>高屋</t>
  </si>
  <si>
    <t>SAGOSHI</t>
  </si>
  <si>
    <t>砂越</t>
  </si>
  <si>
    <t>INASHITA</t>
  </si>
  <si>
    <t>稲下</t>
  </si>
  <si>
    <t>NAGASAKI</t>
  </si>
  <si>
    <t>長崎</t>
  </si>
  <si>
    <t>NISHIOTSUKA</t>
  </si>
  <si>
    <t>西大塚</t>
  </si>
  <si>
    <t>雄物川</t>
  </si>
  <si>
    <t>TSUBAKIGAWA</t>
  </si>
  <si>
    <t>椿川</t>
  </si>
  <si>
    <t>JINGUJI</t>
  </si>
  <si>
    <t>神宮寺</t>
  </si>
  <si>
    <t>OMAGARI-BASHI</t>
  </si>
  <si>
    <t>大曲橋</t>
  </si>
  <si>
    <t>OMONOGAWA-BASHI</t>
  </si>
  <si>
    <t>雄物川橋</t>
  </si>
  <si>
    <t>玉川</t>
  </si>
  <si>
    <t>NAGANO</t>
  </si>
  <si>
    <t>長野</t>
  </si>
  <si>
    <t>米代川</t>
  </si>
  <si>
    <t>FUTATSUI</t>
  </si>
  <si>
    <t>二ツ井</t>
  </si>
  <si>
    <t>TAKANOSU</t>
  </si>
  <si>
    <t>鷹巣</t>
  </si>
  <si>
    <t>JUNISHO</t>
  </si>
  <si>
    <t>十二所</t>
  </si>
  <si>
    <t>筑後川</t>
  </si>
  <si>
    <t>SENOSHITA</t>
  </si>
  <si>
    <t>瀬ノ下</t>
  </si>
  <si>
    <t>ARASE</t>
  </si>
  <si>
    <t>荒瀬</t>
  </si>
  <si>
    <t>遠賀川</t>
  </si>
  <si>
    <t>HINODE-BASHI</t>
  </si>
  <si>
    <t>日の出橋</t>
  </si>
  <si>
    <t>松浦川</t>
  </si>
  <si>
    <t>MUTABE</t>
  </si>
  <si>
    <t>牟田部</t>
  </si>
  <si>
    <t>菊池川</t>
  </si>
  <si>
    <t>TAMANA</t>
  </si>
  <si>
    <t>玉名</t>
  </si>
  <si>
    <t>川内川</t>
  </si>
  <si>
    <t>ONOBUCHI</t>
  </si>
  <si>
    <t>斧淵</t>
  </si>
  <si>
    <t>球磨川</t>
  </si>
  <si>
    <t>YOKOISHI</t>
  </si>
  <si>
    <t>横石</t>
  </si>
  <si>
    <t>HITOYOSHI</t>
  </si>
  <si>
    <t>人吉</t>
  </si>
  <si>
    <t>大淀川</t>
  </si>
  <si>
    <t>KASHIWADA</t>
  </si>
  <si>
    <t>柏田</t>
  </si>
  <si>
    <t>HIWATASHI</t>
  </si>
  <si>
    <t>樋渡</t>
  </si>
  <si>
    <t>四万十川</t>
  </si>
  <si>
    <t>GUDO</t>
  </si>
  <si>
    <t>具同</t>
  </si>
  <si>
    <t>仁淀川</t>
  </si>
  <si>
    <t>KAWAGUCHI</t>
  </si>
  <si>
    <t>川口</t>
  </si>
  <si>
    <t>伊野</t>
  </si>
  <si>
    <t>重信川</t>
  </si>
  <si>
    <t>DEAI</t>
  </si>
  <si>
    <t>出合</t>
  </si>
  <si>
    <t>肱川</t>
  </si>
  <si>
    <t>OZU</t>
  </si>
  <si>
    <t>大洲</t>
  </si>
  <si>
    <t>那賀川</t>
  </si>
  <si>
    <t>FURUSHO</t>
  </si>
  <si>
    <t>古庄</t>
  </si>
  <si>
    <t>吉野川</t>
  </si>
  <si>
    <t>IWAZU</t>
  </si>
  <si>
    <t>岩津</t>
  </si>
  <si>
    <t>CHUO-BASHI</t>
  </si>
  <si>
    <t>中央橋</t>
  </si>
  <si>
    <t>IKEDA</t>
  </si>
  <si>
    <t>池田</t>
  </si>
  <si>
    <t>FUKAWA</t>
    <phoneticPr fontId="18"/>
  </si>
  <si>
    <t>-</t>
    <phoneticPr fontId="18"/>
  </si>
  <si>
    <t>Basin No. (ver1.1)</t>
    <phoneticPr fontId="18"/>
  </si>
  <si>
    <t>(Japanese)</t>
    <phoneticPr fontId="18"/>
  </si>
  <si>
    <t>* 0 : No daily runoff data in Water Information System of MLIT or GRDC</t>
    <phoneticPr fontId="18"/>
  </si>
  <si>
    <t>* 1 : Full or some daily runoff data in Water Information System of MLIT or GRDC</t>
    <phoneticPr fontId="18"/>
  </si>
  <si>
    <t>ver1.1</t>
    <phoneticPr fontId="18"/>
  </si>
  <si>
    <t>ver2.0</t>
    <phoneticPr fontId="18"/>
  </si>
  <si>
    <t>[ Basin List of MERV-Jp ]</t>
    <phoneticPr fontId="18"/>
  </si>
  <si>
    <t>Basin No. (ver2.1)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</si>
</sst>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9" xfId="0" applyBorder="1">
      <alignment vertical="center"/>
    </xf>
    <xf numFmtId="0" fontId="0" fillId="0" borderId="23" xfId="0" applyBorder="1">
      <alignment vertical="center"/>
    </xf>
    <xf numFmtId="0" fontId="0" fillId="0" borderId="1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right" vertical="center"/>
    </xf>
    <xf numFmtId="0" fontId="0" fillId="33" borderId="16" xfId="0" applyFill="1" applyBorder="1">
      <alignment vertical="center"/>
    </xf>
    <xf numFmtId="0" fontId="0" fillId="33" borderId="14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1" xfId="0" applyFill="1" applyBorder="1">
      <alignment vertical="center"/>
    </xf>
    <xf numFmtId="0" fontId="0" fillId="0" borderId="13" xfId="0" applyBorder="1">
      <alignment vertical="center"/>
    </xf>
    <xf numFmtId="0" fontId="0" fillId="0" borderId="18" xfId="0" applyBorder="1">
      <alignment vertical="center"/>
    </xf>
    <xf numFmtId="0" fontId="0" fillId="33" borderId="13" xfId="0" applyFill="1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33" borderId="29" xfId="0" applyFill="1" applyBorder="1">
      <alignment vertical="center"/>
    </xf>
    <xf numFmtId="0" fontId="0" fillId="33" borderId="28" xfId="0" applyFill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 applyAlignment="1">
      <alignment horizontal="right" vertical="center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0" fillId="0" borderId="31" xfId="0" applyBorder="1">
      <alignment vertical="center"/>
    </xf>
    <xf numFmtId="0" fontId="0" fillId="0" borderId="36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20" fillId="0" borderId="0" xfId="0" applyFont="1">
      <alignment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0" borderId="42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  <xf numFmtId="0" fontId="0" fillId="0" borderId="21" xfId="0" applyBorder="1">
      <alignment vertical="center"/>
    </xf>
    <xf numFmtId="0" fontId="0" fillId="0" borderId="0" xfId="0">
      <alignment vertical="center"/>
    </xf>
    <xf numFmtId="0" fontId="0" fillId="0" borderId="22" xfId="0" applyBorder="1">
      <alignment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0" fillId="0" borderId="23" xfId="0" applyBorder="1">
      <alignment vertical="center"/>
    </xf>
    <xf numFmtId="0" fontId="0" fillId="33" borderId="16" xfId="0" applyFill="1" applyBorder="1">
      <alignment vertical="center"/>
    </xf>
    <xf numFmtId="0" fontId="0" fillId="33" borderId="17" xfId="0" applyFill="1" applyBorder="1">
      <alignment vertical="center"/>
    </xf>
    <xf numFmtId="0" fontId="0" fillId="33" borderId="18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15" xfId="0" applyFill="1" applyBorder="1">
      <alignment vertical="center"/>
    </xf>
    <xf numFmtId="0" fontId="0" fillId="33" borderId="14" xfId="0" applyFill="1" applyBorder="1">
      <alignment vertical="center"/>
    </xf>
    <xf numFmtId="0" fontId="0" fillId="33" borderId="0" xfId="0" applyFill="1">
      <alignment vertical="center"/>
    </xf>
    <xf numFmtId="0" fontId="0" fillId="33" borderId="22" xfId="0" applyFill="1" applyBorder="1">
      <alignment vertical="center"/>
    </xf>
    <xf numFmtId="0" fontId="0" fillId="33" borderId="21" xfId="0" applyFill="1" applyBorder="1">
      <alignment vertical="center"/>
    </xf>
    <xf numFmtId="0" fontId="0" fillId="33" borderId="23" xfId="0" applyFill="1" applyBorder="1">
      <alignment vertical="center"/>
    </xf>
    <xf numFmtId="0" fontId="0" fillId="0" borderId="10" xfId="0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0" borderId="11" xfId="0" applyBorder="1" applyAlignment="1">
      <alignment horizontal="left" vertical="center" wrapText="1"/>
    </xf>
    <xf numFmtId="20" fontId="0" fillId="0" borderId="18" xfId="0" applyNumberForma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5A67-CED0-4E4B-9D37-527EA527E1E6}">
  <dimension ref="A1:AT141"/>
  <sheetViews>
    <sheetView tabSelected="1" workbookViewId="0">
      <pane ySplit="4" topLeftCell="A5" activePane="bottomLeft" state="frozen"/>
      <selection pane="bottomLeft" activeCell="D1" sqref="D1"/>
    </sheetView>
  </sheetViews>
  <sheetFormatPr defaultRowHeight="18" x14ac:dyDescent="0.45"/>
  <cols>
    <col min="1" max="1" width="15.69921875" customWidth="1"/>
    <col min="2" max="2" width="16.19921875" customWidth="1"/>
    <col min="3" max="8" width="2.19921875" customWidth="1"/>
    <col min="9" max="9" width="8.19921875" customWidth="1"/>
    <col min="10" max="10" width="18.8984375" customWidth="1"/>
    <col min="11" max="11" width="10.5" customWidth="1"/>
    <col min="12" max="12" width="10.8984375" customWidth="1"/>
    <col min="13" max="13" width="15.09765625" customWidth="1"/>
    <col min="14" max="14" width="20.19921875" customWidth="1"/>
    <col min="15" max="15" width="10.3984375" customWidth="1"/>
    <col min="16" max="16" width="9.59765625" customWidth="1"/>
    <col min="17" max="46" width="4.69921875" customWidth="1"/>
  </cols>
  <sheetData>
    <row r="1" spans="1:46" ht="27" thickBot="1" x14ac:dyDescent="0.5">
      <c r="A1" s="37" t="s">
        <v>440</v>
      </c>
    </row>
    <row r="2" spans="1:46" ht="24" customHeight="1" thickBot="1" x14ac:dyDescent="0.5">
      <c r="Q2" s="38" t="s">
        <v>439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40"/>
    </row>
    <row r="3" spans="1:46" ht="20.399999999999999" thickBot="1" x14ac:dyDescent="0.5">
      <c r="Q3" s="41"/>
      <c r="R3" s="42"/>
      <c r="S3" s="42"/>
      <c r="T3" s="42"/>
      <c r="U3" s="42"/>
      <c r="V3" s="42"/>
      <c r="W3" s="43"/>
      <c r="X3" s="38" t="s">
        <v>438</v>
      </c>
      <c r="Y3" s="39"/>
      <c r="Z3" s="39"/>
      <c r="AA3" s="39"/>
      <c r="AB3" s="39"/>
      <c r="AC3" s="39"/>
      <c r="AD3" s="39"/>
      <c r="AE3" s="39"/>
      <c r="AF3" s="39"/>
      <c r="AG3" s="39"/>
      <c r="AH3" s="40"/>
      <c r="AI3" s="41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3"/>
    </row>
    <row r="4" spans="1:46" ht="18.600000000000001" thickBot="1" x14ac:dyDescent="0.5">
      <c r="A4" s="31" t="s">
        <v>434</v>
      </c>
      <c r="B4" s="32" t="s">
        <v>441</v>
      </c>
      <c r="C4" s="47" t="s">
        <v>0</v>
      </c>
      <c r="D4" s="47"/>
      <c r="E4" s="47"/>
      <c r="F4" s="47"/>
      <c r="G4" s="47"/>
      <c r="H4" s="47"/>
      <c r="I4" s="47"/>
      <c r="J4" s="33" t="s">
        <v>1</v>
      </c>
      <c r="K4" s="32" t="s">
        <v>435</v>
      </c>
      <c r="L4" s="32" t="s">
        <v>2</v>
      </c>
      <c r="M4" s="32" t="s">
        <v>3</v>
      </c>
      <c r="N4" s="32" t="s">
        <v>83</v>
      </c>
      <c r="O4" s="32" t="s">
        <v>435</v>
      </c>
      <c r="P4" s="34" t="s">
        <v>84</v>
      </c>
      <c r="Q4" s="31">
        <v>1986</v>
      </c>
      <c r="R4" s="32">
        <v>1987</v>
      </c>
      <c r="S4" s="32">
        <v>1988</v>
      </c>
      <c r="T4" s="32">
        <v>1989</v>
      </c>
      <c r="U4" s="32">
        <v>1990</v>
      </c>
      <c r="V4" s="32">
        <v>1991</v>
      </c>
      <c r="W4" s="34">
        <v>1992</v>
      </c>
      <c r="X4" s="31">
        <v>1993</v>
      </c>
      <c r="Y4" s="32">
        <v>1994</v>
      </c>
      <c r="Z4" s="32">
        <v>1995</v>
      </c>
      <c r="AA4" s="32">
        <v>1996</v>
      </c>
      <c r="AB4" s="32">
        <v>1997</v>
      </c>
      <c r="AC4" s="32">
        <v>1998</v>
      </c>
      <c r="AD4" s="32">
        <v>1999</v>
      </c>
      <c r="AE4" s="32">
        <v>2000</v>
      </c>
      <c r="AF4" s="32">
        <v>2001</v>
      </c>
      <c r="AG4" s="32">
        <v>2002</v>
      </c>
      <c r="AH4" s="35">
        <v>2003</v>
      </c>
      <c r="AI4" s="36">
        <v>2004</v>
      </c>
      <c r="AJ4" s="32">
        <v>2005</v>
      </c>
      <c r="AK4" s="32">
        <v>2006</v>
      </c>
      <c r="AL4" s="32">
        <v>2007</v>
      </c>
      <c r="AM4" s="32">
        <v>2008</v>
      </c>
      <c r="AN4" s="32">
        <v>2009</v>
      </c>
      <c r="AO4" s="32">
        <v>2010</v>
      </c>
      <c r="AP4" s="32">
        <v>2011</v>
      </c>
      <c r="AQ4" s="32">
        <v>2012</v>
      </c>
      <c r="AR4" s="32">
        <v>2013</v>
      </c>
      <c r="AS4" s="32">
        <v>2014</v>
      </c>
      <c r="AT4" s="35">
        <v>2015</v>
      </c>
    </row>
    <row r="5" spans="1:46" x14ac:dyDescent="0.45">
      <c r="A5" s="19">
        <v>1</v>
      </c>
      <c r="B5" s="6">
        <v>1</v>
      </c>
      <c r="C5" s="51"/>
      <c r="D5" s="55">
        <v>2587080</v>
      </c>
      <c r="E5" s="55"/>
      <c r="F5" s="55"/>
      <c r="G5" s="55"/>
      <c r="H5" s="55"/>
      <c r="I5" s="56"/>
      <c r="J5" s="4" t="s">
        <v>4</v>
      </c>
      <c r="K5" s="2" t="s">
        <v>85</v>
      </c>
      <c r="L5" s="2">
        <v>0</v>
      </c>
      <c r="M5" s="2">
        <v>4685</v>
      </c>
      <c r="N5" s="2" t="s">
        <v>86</v>
      </c>
      <c r="O5" s="2" t="s">
        <v>87</v>
      </c>
      <c r="P5" s="17">
        <f>SUM(Q5:AT5)</f>
        <v>30</v>
      </c>
      <c r="Q5" s="19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17">
        <v>1</v>
      </c>
      <c r="X5" s="19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30">
        <v>1</v>
      </c>
      <c r="AI5" s="4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30">
        <v>1</v>
      </c>
    </row>
    <row r="6" spans="1:46" x14ac:dyDescent="0.45">
      <c r="A6" s="21">
        <v>2</v>
      </c>
      <c r="B6" s="7">
        <v>2</v>
      </c>
      <c r="C6" s="49"/>
      <c r="D6" s="51"/>
      <c r="E6" s="45">
        <v>2587081</v>
      </c>
      <c r="F6" s="45"/>
      <c r="G6" s="45"/>
      <c r="H6" s="45"/>
      <c r="I6" s="46"/>
      <c r="J6" s="3" t="s">
        <v>4</v>
      </c>
      <c r="K6" s="1" t="s">
        <v>85</v>
      </c>
      <c r="L6" s="1">
        <v>2587080</v>
      </c>
      <c r="M6" s="1">
        <v>4029</v>
      </c>
      <c r="N6" s="1" t="s">
        <v>88</v>
      </c>
      <c r="O6" s="1" t="s">
        <v>89</v>
      </c>
      <c r="P6" s="16">
        <f t="shared" ref="P6:P69" si="0">SUM(Q6:AT6)</f>
        <v>30</v>
      </c>
      <c r="Q6" s="2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6">
        <v>1</v>
      </c>
      <c r="X6" s="2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20">
        <v>1</v>
      </c>
      <c r="AI6" s="3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20">
        <v>1</v>
      </c>
    </row>
    <row r="7" spans="1:46" x14ac:dyDescent="0.45">
      <c r="A7" s="21">
        <v>3</v>
      </c>
      <c r="B7" s="7">
        <v>3</v>
      </c>
      <c r="C7" s="49"/>
      <c r="D7" s="49"/>
      <c r="E7" s="51"/>
      <c r="F7" s="45">
        <v>2587082</v>
      </c>
      <c r="G7" s="45"/>
      <c r="H7" s="45"/>
      <c r="I7" s="46"/>
      <c r="J7" s="3" t="s">
        <v>4</v>
      </c>
      <c r="K7" s="1" t="s">
        <v>85</v>
      </c>
      <c r="L7" s="1">
        <v>2587081</v>
      </c>
      <c r="M7" s="1">
        <v>2899</v>
      </c>
      <c r="N7" s="1" t="s">
        <v>90</v>
      </c>
      <c r="O7" s="1" t="s">
        <v>91</v>
      </c>
      <c r="P7" s="16">
        <f t="shared" si="0"/>
        <v>30</v>
      </c>
      <c r="Q7" s="2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6">
        <v>1</v>
      </c>
      <c r="X7" s="2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20">
        <v>1</v>
      </c>
      <c r="AI7" s="3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20">
        <v>1</v>
      </c>
    </row>
    <row r="8" spans="1:46" x14ac:dyDescent="0.45">
      <c r="A8" s="21">
        <v>4</v>
      </c>
      <c r="B8" s="7">
        <v>4</v>
      </c>
      <c r="C8" s="50"/>
      <c r="D8" s="49"/>
      <c r="E8" s="49"/>
      <c r="F8" s="51">
        <v>2587083</v>
      </c>
      <c r="G8" s="53"/>
      <c r="H8" s="53"/>
      <c r="I8" s="54"/>
      <c r="J8" s="1" t="s">
        <v>4</v>
      </c>
      <c r="K8" s="1" t="s">
        <v>85</v>
      </c>
      <c r="L8" s="1">
        <v>2587082</v>
      </c>
      <c r="M8" s="1">
        <v>1719.2</v>
      </c>
      <c r="N8" s="1" t="s">
        <v>92</v>
      </c>
      <c r="O8" s="1" t="s">
        <v>93</v>
      </c>
      <c r="P8" s="16">
        <f t="shared" si="0"/>
        <v>30</v>
      </c>
      <c r="Q8" s="2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6">
        <v>1</v>
      </c>
      <c r="X8" s="2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20">
        <v>1</v>
      </c>
      <c r="AI8" s="3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20">
        <v>1</v>
      </c>
    </row>
    <row r="9" spans="1:46" x14ac:dyDescent="0.45">
      <c r="A9" s="21">
        <v>5</v>
      </c>
      <c r="B9" s="7">
        <v>5</v>
      </c>
      <c r="C9" s="48"/>
      <c r="D9" s="45">
        <v>2587100</v>
      </c>
      <c r="E9" s="45"/>
      <c r="F9" s="45"/>
      <c r="G9" s="45"/>
      <c r="H9" s="45"/>
      <c r="I9" s="46"/>
      <c r="J9" s="3" t="s">
        <v>5</v>
      </c>
      <c r="K9" s="1" t="s">
        <v>94</v>
      </c>
      <c r="L9" s="1">
        <v>0</v>
      </c>
      <c r="M9" s="1">
        <v>12697</v>
      </c>
      <c r="N9" s="1" t="s">
        <v>95</v>
      </c>
      <c r="O9" s="1" t="s">
        <v>96</v>
      </c>
      <c r="P9" s="16">
        <f t="shared" si="0"/>
        <v>30</v>
      </c>
      <c r="Q9" s="2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6">
        <v>1</v>
      </c>
      <c r="X9" s="2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20">
        <v>1</v>
      </c>
      <c r="AI9" s="3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20">
        <v>1</v>
      </c>
    </row>
    <row r="10" spans="1:46" x14ac:dyDescent="0.45">
      <c r="A10" s="21">
        <v>6</v>
      </c>
      <c r="B10" s="7">
        <v>6</v>
      </c>
      <c r="C10" s="49"/>
      <c r="D10" s="51"/>
      <c r="E10" s="45">
        <v>2587101</v>
      </c>
      <c r="F10" s="45"/>
      <c r="G10" s="45"/>
      <c r="H10" s="45"/>
      <c r="I10" s="46"/>
      <c r="J10" s="3" t="s">
        <v>5</v>
      </c>
      <c r="K10" s="1" t="s">
        <v>94</v>
      </c>
      <c r="L10" s="1">
        <v>2587100</v>
      </c>
      <c r="M10" s="1">
        <v>9306</v>
      </c>
      <c r="N10" s="1" t="s">
        <v>97</v>
      </c>
      <c r="O10" s="1" t="s">
        <v>98</v>
      </c>
      <c r="P10" s="16">
        <f t="shared" si="0"/>
        <v>30</v>
      </c>
      <c r="Q10" s="2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6">
        <v>1</v>
      </c>
      <c r="X10" s="2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20">
        <v>1</v>
      </c>
      <c r="AI10" s="3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20">
        <v>1</v>
      </c>
    </row>
    <row r="11" spans="1:46" x14ac:dyDescent="0.45">
      <c r="A11" s="21">
        <v>7</v>
      </c>
      <c r="B11" s="7">
        <v>7</v>
      </c>
      <c r="C11" s="49"/>
      <c r="D11" s="49"/>
      <c r="E11" s="51"/>
      <c r="F11" s="45">
        <v>2587102</v>
      </c>
      <c r="G11" s="45"/>
      <c r="H11" s="45"/>
      <c r="I11" s="46"/>
      <c r="J11" s="3" t="s">
        <v>5</v>
      </c>
      <c r="K11" s="1" t="s">
        <v>94</v>
      </c>
      <c r="L11" s="1">
        <v>2587101</v>
      </c>
      <c r="M11" s="1">
        <v>5711</v>
      </c>
      <c r="N11" s="1" t="s">
        <v>99</v>
      </c>
      <c r="O11" s="1" t="s">
        <v>100</v>
      </c>
      <c r="P11" s="16">
        <f t="shared" si="0"/>
        <v>30</v>
      </c>
      <c r="Q11" s="2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6">
        <v>1</v>
      </c>
      <c r="X11" s="2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20">
        <v>1</v>
      </c>
      <c r="AI11" s="3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20">
        <v>1</v>
      </c>
    </row>
    <row r="12" spans="1:46" x14ac:dyDescent="0.45">
      <c r="A12" s="21">
        <v>8</v>
      </c>
      <c r="B12" s="7">
        <v>8</v>
      </c>
      <c r="C12" s="49"/>
      <c r="D12" s="49"/>
      <c r="E12" s="49"/>
      <c r="F12" s="48"/>
      <c r="G12" s="45">
        <v>2587103</v>
      </c>
      <c r="H12" s="45"/>
      <c r="I12" s="46"/>
      <c r="J12" s="3" t="s">
        <v>5</v>
      </c>
      <c r="K12" s="1" t="s">
        <v>94</v>
      </c>
      <c r="L12" s="1">
        <v>2587102</v>
      </c>
      <c r="M12" s="1">
        <v>3558</v>
      </c>
      <c r="N12" s="1" t="s">
        <v>101</v>
      </c>
      <c r="O12" s="1" t="s">
        <v>102</v>
      </c>
      <c r="P12" s="16">
        <f t="shared" si="0"/>
        <v>30</v>
      </c>
      <c r="Q12" s="2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6">
        <v>1</v>
      </c>
      <c r="X12" s="2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20">
        <v>1</v>
      </c>
      <c r="AI12" s="3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20">
        <v>1</v>
      </c>
    </row>
    <row r="13" spans="1:46" x14ac:dyDescent="0.45">
      <c r="A13" s="21">
        <v>9</v>
      </c>
      <c r="B13" s="7">
        <v>9</v>
      </c>
      <c r="C13" s="49"/>
      <c r="D13" s="49"/>
      <c r="E13" s="49"/>
      <c r="F13" s="51"/>
      <c r="G13" s="48">
        <v>2587104</v>
      </c>
      <c r="H13" s="52"/>
      <c r="I13" s="52"/>
      <c r="J13" s="3" t="s">
        <v>5</v>
      </c>
      <c r="K13" s="1" t="s">
        <v>94</v>
      </c>
      <c r="L13" s="1">
        <v>2587103</v>
      </c>
      <c r="M13" s="1">
        <v>3378.6</v>
      </c>
      <c r="N13" s="1" t="s">
        <v>103</v>
      </c>
      <c r="O13" s="1" t="s">
        <v>104</v>
      </c>
      <c r="P13" s="16">
        <f t="shared" si="0"/>
        <v>30</v>
      </c>
      <c r="Q13" s="2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6">
        <v>1</v>
      </c>
      <c r="X13" s="2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20">
        <v>1</v>
      </c>
      <c r="AI13" s="3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20">
        <v>1</v>
      </c>
    </row>
    <row r="14" spans="1:46" x14ac:dyDescent="0.45">
      <c r="A14" s="21">
        <v>10</v>
      </c>
      <c r="B14" s="7">
        <v>10</v>
      </c>
      <c r="C14" s="49"/>
      <c r="D14" s="50"/>
      <c r="E14" s="44">
        <v>2587105</v>
      </c>
      <c r="F14" s="45"/>
      <c r="G14" s="45"/>
      <c r="H14" s="45"/>
      <c r="I14" s="46"/>
      <c r="J14" s="1" t="s">
        <v>6</v>
      </c>
      <c r="K14" s="1" t="s">
        <v>105</v>
      </c>
      <c r="L14" s="1">
        <v>2587101</v>
      </c>
      <c r="M14" s="1">
        <v>2531</v>
      </c>
      <c r="N14" s="1" t="s">
        <v>106</v>
      </c>
      <c r="O14" s="1" t="s">
        <v>107</v>
      </c>
      <c r="P14" s="16">
        <f t="shared" si="0"/>
        <v>30</v>
      </c>
      <c r="Q14" s="2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6">
        <v>1</v>
      </c>
      <c r="X14" s="2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20">
        <v>1</v>
      </c>
      <c r="AI14" s="3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20">
        <v>1</v>
      </c>
    </row>
    <row r="15" spans="1:46" x14ac:dyDescent="0.45">
      <c r="A15" s="21">
        <v>11</v>
      </c>
      <c r="B15" s="7">
        <v>11</v>
      </c>
      <c r="C15" s="50"/>
      <c r="D15" s="57">
        <v>2587106</v>
      </c>
      <c r="E15" s="55"/>
      <c r="F15" s="55"/>
      <c r="G15" s="55"/>
      <c r="H15" s="55"/>
      <c r="I15" s="56"/>
      <c r="J15" s="1" t="s">
        <v>7</v>
      </c>
      <c r="K15" s="1" t="s">
        <v>108</v>
      </c>
      <c r="L15" s="1">
        <v>2587100</v>
      </c>
      <c r="M15" s="1">
        <v>1116</v>
      </c>
      <c r="N15" s="1" t="s">
        <v>109</v>
      </c>
      <c r="O15" s="1" t="s">
        <v>110</v>
      </c>
      <c r="P15" s="16">
        <f t="shared" si="0"/>
        <v>30</v>
      </c>
      <c r="Q15" s="2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6">
        <v>1</v>
      </c>
      <c r="X15" s="2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20">
        <v>1</v>
      </c>
      <c r="AI15" s="3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20">
        <v>1</v>
      </c>
    </row>
    <row r="16" spans="1:46" x14ac:dyDescent="0.45">
      <c r="A16" s="21">
        <v>12</v>
      </c>
      <c r="B16" s="7">
        <v>12</v>
      </c>
      <c r="C16" s="44">
        <v>2587200</v>
      </c>
      <c r="D16" s="45"/>
      <c r="E16" s="45"/>
      <c r="F16" s="45"/>
      <c r="G16" s="45"/>
      <c r="H16" s="45"/>
      <c r="I16" s="46"/>
      <c r="J16" s="1" t="s">
        <v>8</v>
      </c>
      <c r="K16" s="1" t="s">
        <v>111</v>
      </c>
      <c r="L16" s="1">
        <v>0</v>
      </c>
      <c r="M16" s="1">
        <v>1402.2</v>
      </c>
      <c r="N16" s="1" t="s">
        <v>112</v>
      </c>
      <c r="O16" s="1" t="s">
        <v>113</v>
      </c>
      <c r="P16" s="16">
        <f t="shared" si="0"/>
        <v>30</v>
      </c>
      <c r="Q16" s="2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6">
        <v>1</v>
      </c>
      <c r="X16" s="2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20">
        <v>1</v>
      </c>
      <c r="AI16" s="3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20">
        <v>1</v>
      </c>
    </row>
    <row r="17" spans="1:46" x14ac:dyDescent="0.45">
      <c r="A17" s="21">
        <v>13</v>
      </c>
      <c r="B17" s="7">
        <v>13</v>
      </c>
      <c r="C17" s="44">
        <v>2587210</v>
      </c>
      <c r="D17" s="45"/>
      <c r="E17" s="45"/>
      <c r="F17" s="45"/>
      <c r="G17" s="45"/>
      <c r="H17" s="45"/>
      <c r="I17" s="46"/>
      <c r="J17" s="1" t="s">
        <v>9</v>
      </c>
      <c r="K17" s="1" t="s">
        <v>114</v>
      </c>
      <c r="L17" s="1">
        <v>0</v>
      </c>
      <c r="M17" s="1">
        <v>1228</v>
      </c>
      <c r="N17" s="1" t="s">
        <v>115</v>
      </c>
      <c r="O17" s="1" t="s">
        <v>114</v>
      </c>
      <c r="P17" s="16">
        <f t="shared" si="0"/>
        <v>30</v>
      </c>
      <c r="Q17" s="2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6">
        <v>1</v>
      </c>
      <c r="X17" s="2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20">
        <v>1</v>
      </c>
      <c r="AI17" s="3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20">
        <v>1</v>
      </c>
    </row>
    <row r="18" spans="1:46" x14ac:dyDescent="0.45">
      <c r="A18" s="21">
        <v>14</v>
      </c>
      <c r="B18" s="7">
        <v>14</v>
      </c>
      <c r="C18" s="44">
        <v>2587220</v>
      </c>
      <c r="D18" s="45"/>
      <c r="E18" s="45"/>
      <c r="F18" s="45"/>
      <c r="G18" s="45"/>
      <c r="H18" s="45"/>
      <c r="I18" s="46"/>
      <c r="J18" s="1" t="s">
        <v>10</v>
      </c>
      <c r="K18" s="1" t="s">
        <v>116</v>
      </c>
      <c r="L18" s="1">
        <v>0</v>
      </c>
      <c r="M18" s="1">
        <v>1253</v>
      </c>
      <c r="N18" s="1" t="s">
        <v>117</v>
      </c>
      <c r="O18" s="1" t="s">
        <v>118</v>
      </c>
      <c r="P18" s="16">
        <f t="shared" si="0"/>
        <v>30</v>
      </c>
      <c r="Q18" s="2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6">
        <v>1</v>
      </c>
      <c r="X18" s="2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20">
        <v>1</v>
      </c>
      <c r="AI18" s="3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20">
        <v>1</v>
      </c>
    </row>
    <row r="19" spans="1:46" x14ac:dyDescent="0.45">
      <c r="A19" s="21">
        <v>15</v>
      </c>
      <c r="B19" s="7">
        <v>15</v>
      </c>
      <c r="C19" s="44">
        <v>2587230</v>
      </c>
      <c r="D19" s="45"/>
      <c r="E19" s="45"/>
      <c r="F19" s="45"/>
      <c r="G19" s="45"/>
      <c r="H19" s="45"/>
      <c r="I19" s="46"/>
      <c r="J19" s="1" t="s">
        <v>11</v>
      </c>
      <c r="K19" s="1" t="s">
        <v>119</v>
      </c>
      <c r="L19" s="1">
        <v>0</v>
      </c>
      <c r="M19" s="1">
        <v>1120.4000000000001</v>
      </c>
      <c r="N19" s="1" t="s">
        <v>120</v>
      </c>
      <c r="O19" s="1" t="s">
        <v>121</v>
      </c>
      <c r="P19" s="16">
        <f t="shared" si="0"/>
        <v>30</v>
      </c>
      <c r="Q19" s="2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6">
        <v>1</v>
      </c>
      <c r="X19" s="2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20">
        <v>1</v>
      </c>
      <c r="AI19" s="3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20">
        <v>1</v>
      </c>
    </row>
    <row r="20" spans="1:46" x14ac:dyDescent="0.45">
      <c r="A20" s="21">
        <v>16</v>
      </c>
      <c r="B20" s="7">
        <v>16</v>
      </c>
      <c r="C20" s="44">
        <v>2587240</v>
      </c>
      <c r="D20" s="45"/>
      <c r="E20" s="45"/>
      <c r="F20" s="45"/>
      <c r="G20" s="45"/>
      <c r="H20" s="45"/>
      <c r="I20" s="46"/>
      <c r="J20" s="1" t="s">
        <v>12</v>
      </c>
      <c r="K20" s="1" t="s">
        <v>122</v>
      </c>
      <c r="L20" s="1">
        <v>0</v>
      </c>
      <c r="M20" s="1">
        <v>1394.2</v>
      </c>
      <c r="N20" s="1" t="s">
        <v>123</v>
      </c>
      <c r="O20" s="1" t="s">
        <v>124</v>
      </c>
      <c r="P20" s="16">
        <f t="shared" si="0"/>
        <v>30</v>
      </c>
      <c r="Q20" s="2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6">
        <v>1</v>
      </c>
      <c r="X20" s="2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20">
        <v>1</v>
      </c>
      <c r="AI20" s="3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20">
        <v>1</v>
      </c>
    </row>
    <row r="21" spans="1:46" x14ac:dyDescent="0.45">
      <c r="A21" s="21">
        <v>17</v>
      </c>
      <c r="B21" s="7">
        <v>17</v>
      </c>
      <c r="C21" s="48">
        <v>2587250</v>
      </c>
      <c r="D21" s="52"/>
      <c r="E21" s="52"/>
      <c r="F21" s="52"/>
      <c r="G21" s="52"/>
      <c r="H21" s="52"/>
      <c r="I21" s="58"/>
      <c r="J21" s="1" t="s">
        <v>13</v>
      </c>
      <c r="K21" s="1" t="s">
        <v>125</v>
      </c>
      <c r="L21" s="1">
        <v>0</v>
      </c>
      <c r="M21" s="1">
        <v>1334.8</v>
      </c>
      <c r="N21" s="1" t="s">
        <v>126</v>
      </c>
      <c r="O21" s="1" t="s">
        <v>127</v>
      </c>
      <c r="P21" s="16">
        <f t="shared" si="0"/>
        <v>30</v>
      </c>
      <c r="Q21" s="2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6">
        <v>1</v>
      </c>
      <c r="X21" s="2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20">
        <v>1</v>
      </c>
      <c r="AI21" s="3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20">
        <v>1</v>
      </c>
    </row>
    <row r="22" spans="1:46" x14ac:dyDescent="0.45">
      <c r="A22" s="21">
        <v>18</v>
      </c>
      <c r="B22" s="7">
        <v>18</v>
      </c>
      <c r="C22" s="48"/>
      <c r="D22" s="52">
        <v>2587400</v>
      </c>
      <c r="E22" s="52"/>
      <c r="F22" s="52"/>
      <c r="G22" s="52"/>
      <c r="H22" s="52"/>
      <c r="I22" s="58"/>
      <c r="J22" s="3" t="s">
        <v>14</v>
      </c>
      <c r="K22" s="1" t="s">
        <v>128</v>
      </c>
      <c r="L22" s="1">
        <v>0</v>
      </c>
      <c r="M22" s="1">
        <v>8277</v>
      </c>
      <c r="N22" s="1" t="s">
        <v>129</v>
      </c>
      <c r="O22" s="1" t="s">
        <v>130</v>
      </c>
      <c r="P22" s="16">
        <f t="shared" si="0"/>
        <v>30</v>
      </c>
      <c r="Q22" s="2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6">
        <v>1</v>
      </c>
      <c r="X22" s="2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20">
        <v>1</v>
      </c>
      <c r="AI22" s="3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20">
        <v>1</v>
      </c>
    </row>
    <row r="23" spans="1:46" x14ac:dyDescent="0.45">
      <c r="A23" s="21">
        <v>19</v>
      </c>
      <c r="B23" s="7">
        <v>19</v>
      </c>
      <c r="C23" s="49"/>
      <c r="D23" s="48"/>
      <c r="E23" s="52">
        <v>2587401</v>
      </c>
      <c r="F23" s="52"/>
      <c r="G23" s="52"/>
      <c r="H23" s="52"/>
      <c r="I23" s="58"/>
      <c r="J23" s="3" t="s">
        <v>14</v>
      </c>
      <c r="K23" s="1" t="s">
        <v>128</v>
      </c>
      <c r="L23" s="1">
        <v>2587400</v>
      </c>
      <c r="M23" s="1">
        <v>2529.3000000000002</v>
      </c>
      <c r="N23" s="1" t="s">
        <v>131</v>
      </c>
      <c r="O23" s="1" t="s">
        <v>132</v>
      </c>
      <c r="P23" s="16">
        <f t="shared" si="0"/>
        <v>30</v>
      </c>
      <c r="Q23" s="2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6">
        <v>1</v>
      </c>
      <c r="X23" s="2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20">
        <v>1</v>
      </c>
      <c r="AI23" s="3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20">
        <v>1</v>
      </c>
    </row>
    <row r="24" spans="1:46" x14ac:dyDescent="0.45">
      <c r="A24" s="21">
        <v>20</v>
      </c>
      <c r="B24" s="7">
        <v>20</v>
      </c>
      <c r="C24" s="49"/>
      <c r="D24" s="50"/>
      <c r="E24" s="44">
        <v>2587402</v>
      </c>
      <c r="F24" s="45"/>
      <c r="G24" s="45"/>
      <c r="H24" s="45"/>
      <c r="I24" s="46"/>
      <c r="J24" s="3" t="s">
        <v>14</v>
      </c>
      <c r="K24" s="1" t="s">
        <v>128</v>
      </c>
      <c r="L24" s="1">
        <v>2587401</v>
      </c>
      <c r="M24" s="1">
        <v>803.8</v>
      </c>
      <c r="N24" s="1" t="s">
        <v>133</v>
      </c>
      <c r="O24" s="1" t="s">
        <v>134</v>
      </c>
      <c r="P24" s="16">
        <f t="shared" si="0"/>
        <v>28</v>
      </c>
      <c r="Q24" s="21">
        <v>0</v>
      </c>
      <c r="R24" s="1">
        <v>0</v>
      </c>
      <c r="S24" s="1">
        <v>1</v>
      </c>
      <c r="T24" s="1">
        <v>1</v>
      </c>
      <c r="U24" s="1">
        <v>1</v>
      </c>
      <c r="V24" s="1">
        <v>1</v>
      </c>
      <c r="W24" s="16">
        <v>1</v>
      </c>
      <c r="X24" s="2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20">
        <v>1</v>
      </c>
      <c r="AI24" s="3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20">
        <v>1</v>
      </c>
    </row>
    <row r="25" spans="1:46" x14ac:dyDescent="0.45">
      <c r="A25" s="21">
        <v>21</v>
      </c>
      <c r="B25" s="7">
        <v>21</v>
      </c>
      <c r="C25" s="50"/>
      <c r="D25" s="44">
        <v>2587403</v>
      </c>
      <c r="E25" s="45"/>
      <c r="F25" s="45"/>
      <c r="G25" s="45"/>
      <c r="H25" s="45"/>
      <c r="I25" s="46"/>
      <c r="J25" s="3" t="s">
        <v>15</v>
      </c>
      <c r="K25" s="1" t="s">
        <v>135</v>
      </c>
      <c r="L25" s="1">
        <v>2587400</v>
      </c>
      <c r="M25" s="1">
        <v>2715.2</v>
      </c>
      <c r="N25" s="1" t="s">
        <v>136</v>
      </c>
      <c r="O25" s="1" t="s">
        <v>137</v>
      </c>
      <c r="P25" s="16">
        <f t="shared" si="0"/>
        <v>30</v>
      </c>
      <c r="Q25" s="2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6">
        <v>1</v>
      </c>
      <c r="X25" s="2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20">
        <v>1</v>
      </c>
      <c r="AI25" s="3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20">
        <v>1</v>
      </c>
    </row>
    <row r="26" spans="1:46" x14ac:dyDescent="0.45">
      <c r="A26" s="21">
        <v>22</v>
      </c>
      <c r="B26" s="7">
        <v>22</v>
      </c>
      <c r="C26" s="48">
        <v>2588250</v>
      </c>
      <c r="D26" s="52"/>
      <c r="E26" s="52"/>
      <c r="F26" s="52"/>
      <c r="G26" s="52"/>
      <c r="H26" s="52"/>
      <c r="I26" s="58"/>
      <c r="J26" s="1" t="s">
        <v>16</v>
      </c>
      <c r="K26" s="1" t="s">
        <v>138</v>
      </c>
      <c r="L26" s="1">
        <v>0</v>
      </c>
      <c r="M26" s="1">
        <v>2251</v>
      </c>
      <c r="N26" s="1" t="s">
        <v>139</v>
      </c>
      <c r="O26" s="1" t="s">
        <v>140</v>
      </c>
      <c r="P26" s="16">
        <f t="shared" si="0"/>
        <v>25</v>
      </c>
      <c r="Q26" s="21">
        <v>1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6">
        <v>1</v>
      </c>
      <c r="X26" s="21">
        <v>1</v>
      </c>
      <c r="Y26" s="1">
        <v>0</v>
      </c>
      <c r="Z26" s="1">
        <v>0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20">
        <v>1</v>
      </c>
      <c r="AI26" s="3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20">
        <v>1</v>
      </c>
    </row>
    <row r="27" spans="1:46" x14ac:dyDescent="0.45">
      <c r="A27" s="22">
        <v>23</v>
      </c>
      <c r="B27" s="11" t="s">
        <v>433</v>
      </c>
      <c r="C27" s="59"/>
      <c r="D27" s="67">
        <v>2588301</v>
      </c>
      <c r="E27" s="67"/>
      <c r="F27" s="67"/>
      <c r="G27" s="67"/>
      <c r="H27" s="67"/>
      <c r="I27" s="68"/>
      <c r="J27" s="13" t="s">
        <v>17</v>
      </c>
      <c r="K27" s="10" t="s">
        <v>141</v>
      </c>
      <c r="L27" s="10">
        <v>0</v>
      </c>
      <c r="M27" s="10">
        <v>4683.8</v>
      </c>
      <c r="N27" s="10" t="s">
        <v>142</v>
      </c>
      <c r="O27" s="10" t="s">
        <v>143</v>
      </c>
      <c r="P27" s="18">
        <f t="shared" si="0"/>
        <v>23</v>
      </c>
      <c r="Q27" s="22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8">
        <v>0</v>
      </c>
      <c r="X27" s="22">
        <v>1</v>
      </c>
      <c r="Y27" s="10">
        <v>1</v>
      </c>
      <c r="Z27" s="10">
        <v>1</v>
      </c>
      <c r="AA27" s="10">
        <v>1</v>
      </c>
      <c r="AB27" s="10">
        <v>1</v>
      </c>
      <c r="AC27" s="10">
        <v>1</v>
      </c>
      <c r="AD27" s="10">
        <v>1</v>
      </c>
      <c r="AE27" s="10">
        <v>1</v>
      </c>
      <c r="AF27" s="10">
        <v>1</v>
      </c>
      <c r="AG27" s="10">
        <v>1</v>
      </c>
      <c r="AH27" s="23">
        <v>1</v>
      </c>
      <c r="AI27" s="13">
        <v>1</v>
      </c>
      <c r="AJ27" s="10">
        <v>1</v>
      </c>
      <c r="AK27" s="10">
        <v>1</v>
      </c>
      <c r="AL27" s="10">
        <v>1</v>
      </c>
      <c r="AM27" s="10">
        <v>1</v>
      </c>
      <c r="AN27" s="10">
        <v>1</v>
      </c>
      <c r="AO27" s="10">
        <v>1</v>
      </c>
      <c r="AP27" s="10">
        <v>1</v>
      </c>
      <c r="AQ27" s="10">
        <v>1</v>
      </c>
      <c r="AR27" s="10">
        <v>1</v>
      </c>
      <c r="AS27" s="10">
        <v>1</v>
      </c>
      <c r="AT27" s="23">
        <v>1</v>
      </c>
    </row>
    <row r="28" spans="1:46" x14ac:dyDescent="0.45">
      <c r="A28" s="22">
        <v>24</v>
      </c>
      <c r="B28" s="11" t="s">
        <v>433</v>
      </c>
      <c r="C28" s="60"/>
      <c r="D28" s="62">
        <v>2588302</v>
      </c>
      <c r="E28" s="63"/>
      <c r="F28" s="63"/>
      <c r="G28" s="63"/>
      <c r="H28" s="63"/>
      <c r="I28" s="64"/>
      <c r="J28" s="13" t="s">
        <v>18</v>
      </c>
      <c r="K28" s="10" t="s">
        <v>144</v>
      </c>
      <c r="L28" s="10">
        <v>2588301</v>
      </c>
      <c r="M28" s="10">
        <v>1195.8</v>
      </c>
      <c r="N28" s="10" t="s">
        <v>145</v>
      </c>
      <c r="O28" s="10" t="s">
        <v>146</v>
      </c>
      <c r="P28" s="18">
        <f t="shared" si="0"/>
        <v>23</v>
      </c>
      <c r="Q28" s="22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8">
        <v>0</v>
      </c>
      <c r="X28" s="22">
        <v>1</v>
      </c>
      <c r="Y28" s="10">
        <v>1</v>
      </c>
      <c r="Z28" s="10">
        <v>1</v>
      </c>
      <c r="AA28" s="10">
        <v>1</v>
      </c>
      <c r="AB28" s="10">
        <v>1</v>
      </c>
      <c r="AC28" s="10">
        <v>1</v>
      </c>
      <c r="AD28" s="10">
        <v>1</v>
      </c>
      <c r="AE28" s="10">
        <v>1</v>
      </c>
      <c r="AF28" s="10">
        <v>1</v>
      </c>
      <c r="AG28" s="10">
        <v>1</v>
      </c>
      <c r="AH28" s="23">
        <v>1</v>
      </c>
      <c r="AI28" s="13">
        <v>1</v>
      </c>
      <c r="AJ28" s="10">
        <v>1</v>
      </c>
      <c r="AK28" s="10">
        <v>1</v>
      </c>
      <c r="AL28" s="10">
        <v>1</v>
      </c>
      <c r="AM28" s="10">
        <v>1</v>
      </c>
      <c r="AN28" s="10">
        <v>1</v>
      </c>
      <c r="AO28" s="10">
        <v>1</v>
      </c>
      <c r="AP28" s="10">
        <v>1</v>
      </c>
      <c r="AQ28" s="10">
        <v>1</v>
      </c>
      <c r="AR28" s="10">
        <v>1</v>
      </c>
      <c r="AS28" s="10">
        <v>1</v>
      </c>
      <c r="AT28" s="23">
        <v>1</v>
      </c>
    </row>
    <row r="29" spans="1:46" x14ac:dyDescent="0.45">
      <c r="A29" s="22">
        <v>26</v>
      </c>
      <c r="B29" s="11" t="s">
        <v>433</v>
      </c>
      <c r="C29" s="60"/>
      <c r="D29" s="59"/>
      <c r="E29" s="65">
        <v>2588304</v>
      </c>
      <c r="F29" s="65"/>
      <c r="G29" s="65"/>
      <c r="H29" s="65"/>
      <c r="I29" s="66"/>
      <c r="J29" s="13" t="s">
        <v>19</v>
      </c>
      <c r="K29" s="10" t="s">
        <v>147</v>
      </c>
      <c r="L29" s="10">
        <v>2588301</v>
      </c>
      <c r="M29" s="10">
        <v>1914</v>
      </c>
      <c r="N29" s="10" t="s">
        <v>150</v>
      </c>
      <c r="O29" s="10" t="s">
        <v>151</v>
      </c>
      <c r="P29" s="18">
        <f>SUM(Q29:AT29)</f>
        <v>23</v>
      </c>
      <c r="Q29" s="22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8">
        <v>0</v>
      </c>
      <c r="X29" s="22">
        <v>1</v>
      </c>
      <c r="Y29" s="10">
        <v>1</v>
      </c>
      <c r="Z29" s="10">
        <v>1</v>
      </c>
      <c r="AA29" s="10">
        <v>1</v>
      </c>
      <c r="AB29" s="10">
        <v>1</v>
      </c>
      <c r="AC29" s="10">
        <v>1</v>
      </c>
      <c r="AD29" s="10">
        <v>1</v>
      </c>
      <c r="AE29" s="10">
        <v>1</v>
      </c>
      <c r="AF29" s="10">
        <v>1</v>
      </c>
      <c r="AG29" s="10">
        <v>1</v>
      </c>
      <c r="AH29" s="23">
        <v>1</v>
      </c>
      <c r="AI29" s="13">
        <v>1</v>
      </c>
      <c r="AJ29" s="10">
        <v>1</v>
      </c>
      <c r="AK29" s="10">
        <v>1</v>
      </c>
      <c r="AL29" s="10">
        <v>1</v>
      </c>
      <c r="AM29" s="10">
        <v>1</v>
      </c>
      <c r="AN29" s="10">
        <v>1</v>
      </c>
      <c r="AO29" s="10">
        <v>1</v>
      </c>
      <c r="AP29" s="10">
        <v>1</v>
      </c>
      <c r="AQ29" s="10">
        <v>1</v>
      </c>
      <c r="AR29" s="10">
        <v>1</v>
      </c>
      <c r="AS29" s="10">
        <v>1</v>
      </c>
      <c r="AT29" s="23">
        <v>1</v>
      </c>
    </row>
    <row r="30" spans="1:46" x14ac:dyDescent="0.45">
      <c r="A30" s="22">
        <v>25</v>
      </c>
      <c r="B30" s="11" t="s">
        <v>433</v>
      </c>
      <c r="C30" s="61"/>
      <c r="D30" s="61"/>
      <c r="E30" s="62">
        <v>2588303</v>
      </c>
      <c r="F30" s="63"/>
      <c r="G30" s="63"/>
      <c r="H30" s="63"/>
      <c r="I30" s="64"/>
      <c r="J30" s="13" t="s">
        <v>19</v>
      </c>
      <c r="K30" s="10" t="s">
        <v>147</v>
      </c>
      <c r="L30" s="10">
        <v>2588304</v>
      </c>
      <c r="M30" s="10">
        <v>1606</v>
      </c>
      <c r="N30" s="10" t="s">
        <v>148</v>
      </c>
      <c r="O30" s="10" t="s">
        <v>149</v>
      </c>
      <c r="P30" s="18">
        <f t="shared" ref="P30" si="1">SUM(Q30:AT30)</f>
        <v>23</v>
      </c>
      <c r="Q30" s="22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8">
        <v>0</v>
      </c>
      <c r="X30" s="22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23">
        <v>1</v>
      </c>
      <c r="AI30" s="13">
        <v>1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1</v>
      </c>
      <c r="AP30" s="10">
        <v>1</v>
      </c>
      <c r="AQ30" s="10">
        <v>1</v>
      </c>
      <c r="AR30" s="10">
        <v>1</v>
      </c>
      <c r="AS30" s="10">
        <v>1</v>
      </c>
      <c r="AT30" s="23">
        <v>1</v>
      </c>
    </row>
    <row r="31" spans="1:46" x14ac:dyDescent="0.45">
      <c r="A31" s="22">
        <v>27</v>
      </c>
      <c r="B31" s="11" t="s">
        <v>433</v>
      </c>
      <c r="C31" s="59"/>
      <c r="D31" s="67">
        <v>2588320</v>
      </c>
      <c r="E31" s="67"/>
      <c r="F31" s="67"/>
      <c r="G31" s="67"/>
      <c r="H31" s="67"/>
      <c r="I31" s="68"/>
      <c r="J31" s="13" t="s">
        <v>20</v>
      </c>
      <c r="K31" s="10" t="s">
        <v>152</v>
      </c>
      <c r="L31" s="10">
        <v>0</v>
      </c>
      <c r="M31" s="10">
        <v>4880</v>
      </c>
      <c r="N31" s="10" t="s">
        <v>153</v>
      </c>
      <c r="O31" s="10" t="s">
        <v>154</v>
      </c>
      <c r="P31" s="18">
        <f t="shared" si="0"/>
        <v>24</v>
      </c>
      <c r="Q31" s="22">
        <v>1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8">
        <v>0</v>
      </c>
      <c r="X31" s="22">
        <v>1</v>
      </c>
      <c r="Y31" s="10">
        <v>1</v>
      </c>
      <c r="Z31" s="10">
        <v>1</v>
      </c>
      <c r="AA31" s="10">
        <v>1</v>
      </c>
      <c r="AB31" s="10">
        <v>1</v>
      </c>
      <c r="AC31" s="10">
        <v>1</v>
      </c>
      <c r="AD31" s="10">
        <v>1</v>
      </c>
      <c r="AE31" s="10">
        <v>1</v>
      </c>
      <c r="AF31" s="10">
        <v>1</v>
      </c>
      <c r="AG31" s="10">
        <v>1</v>
      </c>
      <c r="AH31" s="23">
        <v>1</v>
      </c>
      <c r="AI31" s="13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1</v>
      </c>
      <c r="AO31" s="10">
        <v>1</v>
      </c>
      <c r="AP31" s="10">
        <v>1</v>
      </c>
      <c r="AQ31" s="10">
        <v>1</v>
      </c>
      <c r="AR31" s="10">
        <v>1</v>
      </c>
      <c r="AS31" s="10">
        <v>1</v>
      </c>
      <c r="AT31" s="23">
        <v>1</v>
      </c>
    </row>
    <row r="32" spans="1:46" x14ac:dyDescent="0.45">
      <c r="A32" s="22">
        <v>29</v>
      </c>
      <c r="B32" s="11" t="s">
        <v>433</v>
      </c>
      <c r="C32" s="60"/>
      <c r="D32" s="59"/>
      <c r="E32" s="67">
        <v>2588322</v>
      </c>
      <c r="F32" s="67"/>
      <c r="G32" s="67"/>
      <c r="H32" s="67"/>
      <c r="I32" s="68"/>
      <c r="J32" s="13" t="s">
        <v>20</v>
      </c>
      <c r="K32" s="10" t="s">
        <v>152</v>
      </c>
      <c r="L32" s="10">
        <v>2588320</v>
      </c>
      <c r="M32" s="10">
        <v>2224.3000000000002</v>
      </c>
      <c r="N32" s="10" t="s">
        <v>157</v>
      </c>
      <c r="O32" s="10" t="s">
        <v>158</v>
      </c>
      <c r="P32" s="18">
        <f>SUM(Q32:AT32)</f>
        <v>23</v>
      </c>
      <c r="Q32" s="22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8">
        <v>0</v>
      </c>
      <c r="X32" s="22">
        <v>1</v>
      </c>
      <c r="Y32" s="10">
        <v>1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>
        <v>1</v>
      </c>
      <c r="AH32" s="23">
        <v>1</v>
      </c>
      <c r="AI32" s="13">
        <v>1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1</v>
      </c>
      <c r="AP32" s="10">
        <v>1</v>
      </c>
      <c r="AQ32" s="10">
        <v>1</v>
      </c>
      <c r="AR32" s="10">
        <v>1</v>
      </c>
      <c r="AS32" s="10">
        <v>1</v>
      </c>
      <c r="AT32" s="23">
        <v>1</v>
      </c>
    </row>
    <row r="33" spans="1:46" x14ac:dyDescent="0.45">
      <c r="A33" s="22">
        <v>28</v>
      </c>
      <c r="B33" s="11" t="s">
        <v>433</v>
      </c>
      <c r="C33" s="61"/>
      <c r="D33" s="61"/>
      <c r="E33" s="62">
        <v>2588321</v>
      </c>
      <c r="F33" s="63"/>
      <c r="G33" s="63"/>
      <c r="H33" s="63"/>
      <c r="I33" s="64"/>
      <c r="J33" s="13" t="s">
        <v>20</v>
      </c>
      <c r="K33" s="10" t="s">
        <v>152</v>
      </c>
      <c r="L33" s="10">
        <v>2588322</v>
      </c>
      <c r="M33" s="10">
        <v>968.4</v>
      </c>
      <c r="N33" s="10" t="s">
        <v>155</v>
      </c>
      <c r="O33" s="10" t="s">
        <v>156</v>
      </c>
      <c r="P33" s="18">
        <f t="shared" ref="P33" si="2">SUM(Q33:AT33)</f>
        <v>23</v>
      </c>
      <c r="Q33" s="22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8">
        <v>0</v>
      </c>
      <c r="X33" s="22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  <c r="AF33" s="10">
        <v>1</v>
      </c>
      <c r="AG33" s="10">
        <v>1</v>
      </c>
      <c r="AH33" s="23">
        <v>1</v>
      </c>
      <c r="AI33" s="13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1</v>
      </c>
      <c r="AO33" s="10">
        <v>1</v>
      </c>
      <c r="AP33" s="10">
        <v>1</v>
      </c>
      <c r="AQ33" s="10">
        <v>1</v>
      </c>
      <c r="AR33" s="10">
        <v>1</v>
      </c>
      <c r="AS33" s="10">
        <v>1</v>
      </c>
      <c r="AT33" s="23">
        <v>1</v>
      </c>
    </row>
    <row r="34" spans="1:46" x14ac:dyDescent="0.45">
      <c r="A34" s="21">
        <v>30</v>
      </c>
      <c r="B34" s="7">
        <v>23</v>
      </c>
      <c r="C34" s="48"/>
      <c r="D34" s="52">
        <v>2588480</v>
      </c>
      <c r="E34" s="52"/>
      <c r="F34" s="52"/>
      <c r="G34" s="52"/>
      <c r="H34" s="52"/>
      <c r="I34" s="58"/>
      <c r="J34" s="3" t="s">
        <v>21</v>
      </c>
      <c r="K34" s="1" t="s">
        <v>159</v>
      </c>
      <c r="L34" s="1">
        <v>0</v>
      </c>
      <c r="M34" s="1">
        <v>3539.8</v>
      </c>
      <c r="N34" s="1" t="s">
        <v>160</v>
      </c>
      <c r="O34" s="1" t="s">
        <v>161</v>
      </c>
      <c r="P34" s="16">
        <f t="shared" si="0"/>
        <v>30</v>
      </c>
      <c r="Q34" s="2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6">
        <v>1</v>
      </c>
      <c r="X34" s="2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20">
        <v>1</v>
      </c>
      <c r="AI34" s="3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20">
        <v>1</v>
      </c>
    </row>
    <row r="35" spans="1:46" x14ac:dyDescent="0.45">
      <c r="A35" s="21">
        <v>31</v>
      </c>
      <c r="B35" s="7">
        <v>24</v>
      </c>
      <c r="C35" s="49"/>
      <c r="D35" s="48"/>
      <c r="E35" s="52">
        <v>2588481</v>
      </c>
      <c r="F35" s="52"/>
      <c r="G35" s="52"/>
      <c r="H35" s="52"/>
      <c r="I35" s="58"/>
      <c r="J35" s="3" t="s">
        <v>21</v>
      </c>
      <c r="K35" s="1" t="s">
        <v>159</v>
      </c>
      <c r="L35" s="1">
        <v>2588480</v>
      </c>
      <c r="M35" s="1">
        <v>2179.1</v>
      </c>
      <c r="N35" s="1" t="s">
        <v>162</v>
      </c>
      <c r="O35" s="1" t="s">
        <v>163</v>
      </c>
      <c r="P35" s="16">
        <f t="shared" si="0"/>
        <v>30</v>
      </c>
      <c r="Q35" s="2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6">
        <v>1</v>
      </c>
      <c r="X35" s="2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20">
        <v>1</v>
      </c>
      <c r="AI35" s="3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20">
        <v>1</v>
      </c>
    </row>
    <row r="36" spans="1:46" x14ac:dyDescent="0.45">
      <c r="A36" s="21">
        <v>32</v>
      </c>
      <c r="B36" s="7">
        <v>25</v>
      </c>
      <c r="C36" s="49"/>
      <c r="D36" s="49"/>
      <c r="E36" s="44">
        <v>2588482</v>
      </c>
      <c r="F36" s="45"/>
      <c r="G36" s="45"/>
      <c r="H36" s="45"/>
      <c r="I36" s="46"/>
      <c r="J36" s="3" t="s">
        <v>21</v>
      </c>
      <c r="K36" s="1" t="s">
        <v>159</v>
      </c>
      <c r="L36" s="1">
        <v>2588481</v>
      </c>
      <c r="M36" s="1">
        <v>481.5</v>
      </c>
      <c r="N36" s="1" t="s">
        <v>164</v>
      </c>
      <c r="O36" s="1" t="s">
        <v>165</v>
      </c>
      <c r="P36" s="16">
        <f t="shared" si="0"/>
        <v>30</v>
      </c>
      <c r="Q36" s="2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6">
        <v>1</v>
      </c>
      <c r="X36" s="2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20">
        <v>1</v>
      </c>
      <c r="AI36" s="3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20">
        <v>1</v>
      </c>
    </row>
    <row r="37" spans="1:46" x14ac:dyDescent="0.45">
      <c r="A37" s="21">
        <v>33</v>
      </c>
      <c r="B37" s="7">
        <v>26</v>
      </c>
      <c r="C37" s="49"/>
      <c r="D37" s="49"/>
      <c r="E37" s="48">
        <v>2588483</v>
      </c>
      <c r="F37" s="52"/>
      <c r="G37" s="52"/>
      <c r="H37" s="52"/>
      <c r="I37" s="58"/>
      <c r="J37" s="3" t="s">
        <v>22</v>
      </c>
      <c r="K37" s="1" t="s">
        <v>166</v>
      </c>
      <c r="L37" s="1">
        <v>2588481</v>
      </c>
      <c r="M37" s="1">
        <v>916.3</v>
      </c>
      <c r="N37" s="1" t="s">
        <v>167</v>
      </c>
      <c r="O37" s="1" t="s">
        <v>168</v>
      </c>
      <c r="P37" s="16">
        <f t="shared" si="0"/>
        <v>30</v>
      </c>
      <c r="Q37" s="2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6">
        <v>1</v>
      </c>
      <c r="X37" s="2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20">
        <v>1</v>
      </c>
      <c r="AI37" s="3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20">
        <v>1</v>
      </c>
    </row>
    <row r="38" spans="1:46" x14ac:dyDescent="0.45">
      <c r="A38" s="21">
        <v>34</v>
      </c>
      <c r="B38" s="7">
        <v>27</v>
      </c>
      <c r="C38" s="48"/>
      <c r="D38" s="52">
        <v>2588500</v>
      </c>
      <c r="E38" s="52"/>
      <c r="F38" s="52"/>
      <c r="G38" s="52"/>
      <c r="H38" s="52"/>
      <c r="I38" s="58"/>
      <c r="J38" s="3" t="s">
        <v>23</v>
      </c>
      <c r="K38" s="1" t="s">
        <v>169</v>
      </c>
      <c r="L38" s="1">
        <v>0</v>
      </c>
      <c r="M38" s="1">
        <v>1019</v>
      </c>
      <c r="N38" s="1" t="s">
        <v>170</v>
      </c>
      <c r="O38" s="1" t="s">
        <v>171</v>
      </c>
      <c r="P38" s="16">
        <f t="shared" si="0"/>
        <v>30</v>
      </c>
      <c r="Q38" s="2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6">
        <v>1</v>
      </c>
      <c r="X38" s="2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20">
        <v>1</v>
      </c>
      <c r="AI38" s="3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20">
        <v>1</v>
      </c>
    </row>
    <row r="39" spans="1:46" x14ac:dyDescent="0.45">
      <c r="A39" s="21">
        <v>35</v>
      </c>
      <c r="B39" s="7">
        <v>28</v>
      </c>
      <c r="C39" s="49"/>
      <c r="D39" s="48">
        <v>2588501</v>
      </c>
      <c r="E39" s="52"/>
      <c r="F39" s="52"/>
      <c r="G39" s="52"/>
      <c r="H39" s="52"/>
      <c r="I39" s="58"/>
      <c r="J39" s="3" t="s">
        <v>23</v>
      </c>
      <c r="K39" s="1" t="s">
        <v>169</v>
      </c>
      <c r="L39" s="1">
        <v>2588500</v>
      </c>
      <c r="M39" s="1">
        <v>905</v>
      </c>
      <c r="N39" s="1" t="s">
        <v>172</v>
      </c>
      <c r="O39" s="1" t="s">
        <v>173</v>
      </c>
      <c r="P39" s="16">
        <f t="shared" si="0"/>
        <v>29</v>
      </c>
      <c r="Q39" s="21">
        <v>1</v>
      </c>
      <c r="R39" s="1">
        <v>0</v>
      </c>
      <c r="S39" s="1">
        <v>1</v>
      </c>
      <c r="T39" s="1">
        <v>1</v>
      </c>
      <c r="U39" s="1">
        <v>1</v>
      </c>
      <c r="V39" s="1">
        <v>1</v>
      </c>
      <c r="W39" s="16">
        <v>1</v>
      </c>
      <c r="X39" s="2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20">
        <v>1</v>
      </c>
      <c r="AI39" s="3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20">
        <v>1</v>
      </c>
    </row>
    <row r="40" spans="1:46" x14ac:dyDescent="0.45">
      <c r="A40" s="22">
        <v>37</v>
      </c>
      <c r="B40" s="11" t="s">
        <v>433</v>
      </c>
      <c r="C40" s="12"/>
      <c r="D40" s="67">
        <v>2588551</v>
      </c>
      <c r="E40" s="67"/>
      <c r="F40" s="67"/>
      <c r="G40" s="67"/>
      <c r="H40" s="67"/>
      <c r="I40" s="68"/>
      <c r="J40" s="13" t="s">
        <v>24</v>
      </c>
      <c r="K40" s="10" t="s">
        <v>174</v>
      </c>
      <c r="L40" s="10">
        <v>0</v>
      </c>
      <c r="M40" s="10">
        <v>12458</v>
      </c>
      <c r="N40" s="10" t="s">
        <v>432</v>
      </c>
      <c r="O40" s="10" t="s">
        <v>177</v>
      </c>
      <c r="P40" s="18">
        <f>SUM(Q40:AT40)</f>
        <v>22</v>
      </c>
      <c r="Q40" s="22">
        <v>1</v>
      </c>
      <c r="R40" s="10">
        <v>1</v>
      </c>
      <c r="S40" s="10">
        <v>1</v>
      </c>
      <c r="T40" s="10">
        <v>1</v>
      </c>
      <c r="U40" s="10">
        <v>1</v>
      </c>
      <c r="V40" s="10">
        <v>0</v>
      </c>
      <c r="W40" s="18">
        <v>1</v>
      </c>
      <c r="X40" s="22">
        <v>1</v>
      </c>
      <c r="Y40" s="10">
        <v>1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1</v>
      </c>
      <c r="AG40" s="10">
        <v>1</v>
      </c>
      <c r="AH40" s="23">
        <v>1</v>
      </c>
      <c r="AI40" s="13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23">
        <v>0</v>
      </c>
    </row>
    <row r="41" spans="1:46" x14ac:dyDescent="0.45">
      <c r="A41" s="21">
        <v>36</v>
      </c>
      <c r="B41" s="7">
        <v>29</v>
      </c>
      <c r="C41" s="49"/>
      <c r="D41" s="48"/>
      <c r="E41" s="52">
        <v>2588550</v>
      </c>
      <c r="F41" s="52"/>
      <c r="G41" s="52"/>
      <c r="H41" s="52"/>
      <c r="I41" s="58"/>
      <c r="J41" s="3" t="s">
        <v>24</v>
      </c>
      <c r="K41" s="1" t="s">
        <v>174</v>
      </c>
      <c r="L41" s="1">
        <v>2588551</v>
      </c>
      <c r="M41" s="1">
        <v>8588</v>
      </c>
      <c r="N41" s="1" t="s">
        <v>175</v>
      </c>
      <c r="O41" s="1" t="s">
        <v>176</v>
      </c>
      <c r="P41" s="16">
        <f t="shared" ref="P41" si="3">SUM(Q41:AT41)</f>
        <v>30</v>
      </c>
      <c r="Q41" s="2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6">
        <v>1</v>
      </c>
      <c r="X41" s="2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20">
        <v>1</v>
      </c>
      <c r="AI41" s="3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20">
        <v>1</v>
      </c>
    </row>
    <row r="42" spans="1:46" x14ac:dyDescent="0.45">
      <c r="A42" s="21">
        <v>38</v>
      </c>
      <c r="B42" s="7">
        <v>30</v>
      </c>
      <c r="C42" s="49"/>
      <c r="D42" s="49"/>
      <c r="E42" s="48"/>
      <c r="F42" s="52">
        <v>2588552</v>
      </c>
      <c r="G42" s="52"/>
      <c r="H42" s="52"/>
      <c r="I42" s="58"/>
      <c r="J42" s="3" t="s">
        <v>24</v>
      </c>
      <c r="K42" s="1" t="s">
        <v>174</v>
      </c>
      <c r="L42" s="1">
        <v>2588550</v>
      </c>
      <c r="M42" s="1">
        <v>6018</v>
      </c>
      <c r="N42" s="1" t="s">
        <v>178</v>
      </c>
      <c r="O42" s="1" t="s">
        <v>179</v>
      </c>
      <c r="P42" s="16">
        <f t="shared" si="0"/>
        <v>30</v>
      </c>
      <c r="Q42" s="2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6">
        <v>1</v>
      </c>
      <c r="X42" s="2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20">
        <v>1</v>
      </c>
      <c r="AI42" s="3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20">
        <v>1</v>
      </c>
    </row>
    <row r="43" spans="1:46" x14ac:dyDescent="0.45">
      <c r="A43" s="21">
        <v>39</v>
      </c>
      <c r="B43" s="7">
        <v>31</v>
      </c>
      <c r="C43" s="49"/>
      <c r="D43" s="49"/>
      <c r="E43" s="49"/>
      <c r="F43" s="48"/>
      <c r="G43" s="52">
        <v>2588553</v>
      </c>
      <c r="H43" s="52"/>
      <c r="I43" s="58"/>
      <c r="J43" s="3" t="s">
        <v>24</v>
      </c>
      <c r="K43" s="1" t="s">
        <v>174</v>
      </c>
      <c r="L43" s="1">
        <v>2588552</v>
      </c>
      <c r="M43" s="1">
        <v>5986</v>
      </c>
      <c r="N43" s="1" t="s">
        <v>180</v>
      </c>
      <c r="O43" s="1" t="s">
        <v>181</v>
      </c>
      <c r="P43" s="16">
        <f t="shared" si="0"/>
        <v>30</v>
      </c>
      <c r="Q43" s="2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6">
        <v>1</v>
      </c>
      <c r="X43" s="2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20">
        <v>1</v>
      </c>
      <c r="AI43" s="3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20">
        <v>1</v>
      </c>
    </row>
    <row r="44" spans="1:46" x14ac:dyDescent="0.45">
      <c r="A44" s="21">
        <v>40</v>
      </c>
      <c r="B44" s="7">
        <v>32</v>
      </c>
      <c r="C44" s="49"/>
      <c r="D44" s="49"/>
      <c r="E44" s="49"/>
      <c r="F44" s="49"/>
      <c r="G44" s="48"/>
      <c r="H44" s="52">
        <v>2588554</v>
      </c>
      <c r="I44" s="58"/>
      <c r="J44" s="3" t="s">
        <v>24</v>
      </c>
      <c r="K44" s="1" t="s">
        <v>174</v>
      </c>
      <c r="L44" s="1">
        <v>2588553</v>
      </c>
      <c r="M44" s="1">
        <v>5150</v>
      </c>
      <c r="N44" s="1" t="s">
        <v>182</v>
      </c>
      <c r="O44" s="1" t="s">
        <v>183</v>
      </c>
      <c r="P44" s="16">
        <f t="shared" si="0"/>
        <v>30</v>
      </c>
      <c r="Q44" s="2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6">
        <v>1</v>
      </c>
      <c r="X44" s="2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20">
        <v>1</v>
      </c>
      <c r="AI44" s="3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20">
        <v>1</v>
      </c>
    </row>
    <row r="45" spans="1:46" x14ac:dyDescent="0.45">
      <c r="A45" s="21">
        <v>41</v>
      </c>
      <c r="B45" s="7">
        <v>33</v>
      </c>
      <c r="C45" s="49"/>
      <c r="D45" s="49"/>
      <c r="E45" s="49"/>
      <c r="F45" s="49"/>
      <c r="G45" s="49"/>
      <c r="H45" s="69">
        <v>2588555</v>
      </c>
      <c r="I45" s="69"/>
      <c r="J45" s="3" t="s">
        <v>24</v>
      </c>
      <c r="K45" s="1" t="s">
        <v>174</v>
      </c>
      <c r="L45" s="1">
        <v>2588554</v>
      </c>
      <c r="M45" s="1">
        <v>1691.9</v>
      </c>
      <c r="N45" s="1" t="s">
        <v>184</v>
      </c>
      <c r="O45" s="1" t="s">
        <v>185</v>
      </c>
      <c r="P45" s="16">
        <f t="shared" si="0"/>
        <v>30</v>
      </c>
      <c r="Q45" s="2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6">
        <v>1</v>
      </c>
      <c r="X45" s="2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20">
        <v>1</v>
      </c>
      <c r="AI45" s="3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20">
        <v>1</v>
      </c>
    </row>
    <row r="46" spans="1:46" x14ac:dyDescent="0.45">
      <c r="A46" s="21">
        <v>44</v>
      </c>
      <c r="B46" s="7">
        <v>36</v>
      </c>
      <c r="C46" s="49"/>
      <c r="D46" s="49"/>
      <c r="E46" s="49"/>
      <c r="F46" s="49"/>
      <c r="G46" s="49"/>
      <c r="H46" s="69">
        <v>2588560</v>
      </c>
      <c r="I46" s="69"/>
      <c r="J46" s="3" t="s">
        <v>27</v>
      </c>
      <c r="K46" s="1" t="s">
        <v>192</v>
      </c>
      <c r="L46" s="1">
        <v>2588554</v>
      </c>
      <c r="M46" s="1">
        <v>1220.8</v>
      </c>
      <c r="N46" s="1" t="s">
        <v>193</v>
      </c>
      <c r="O46" s="1" t="s">
        <v>194</v>
      </c>
      <c r="P46" s="16">
        <f>SUM(Q46:AT46)</f>
        <v>30</v>
      </c>
      <c r="Q46" s="2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6">
        <v>1</v>
      </c>
      <c r="X46" s="2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20">
        <v>1</v>
      </c>
      <c r="AI46" s="3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20">
        <v>1</v>
      </c>
    </row>
    <row r="47" spans="1:46" x14ac:dyDescent="0.45">
      <c r="A47" s="21">
        <v>45</v>
      </c>
      <c r="B47" s="7">
        <v>37</v>
      </c>
      <c r="C47" s="49"/>
      <c r="D47" s="49"/>
      <c r="E47" s="50"/>
      <c r="F47" s="50"/>
      <c r="G47" s="50"/>
      <c r="H47" s="44">
        <v>2588561</v>
      </c>
      <c r="I47" s="46"/>
      <c r="J47" s="3" t="s">
        <v>28</v>
      </c>
      <c r="K47" s="1" t="s">
        <v>195</v>
      </c>
      <c r="L47" s="1">
        <v>2588554</v>
      </c>
      <c r="M47" s="1">
        <v>1239</v>
      </c>
      <c r="N47" s="1" t="s">
        <v>196</v>
      </c>
      <c r="O47" s="1" t="s">
        <v>197</v>
      </c>
      <c r="P47" s="16">
        <f>SUM(Q47:AT47)</f>
        <v>30</v>
      </c>
      <c r="Q47" s="2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6">
        <v>1</v>
      </c>
      <c r="X47" s="2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20">
        <v>1</v>
      </c>
      <c r="AI47" s="3">
        <v>1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>
        <v>1</v>
      </c>
      <c r="AQ47" s="1">
        <v>1</v>
      </c>
      <c r="AR47" s="1">
        <v>1</v>
      </c>
      <c r="AS47" s="1">
        <v>1</v>
      </c>
      <c r="AT47" s="20">
        <v>1</v>
      </c>
    </row>
    <row r="48" spans="1:46" x14ac:dyDescent="0.45">
      <c r="A48" s="21">
        <v>42</v>
      </c>
      <c r="B48" s="7">
        <v>34</v>
      </c>
      <c r="C48" s="49"/>
      <c r="D48" s="49"/>
      <c r="E48" s="51">
        <v>2588558</v>
      </c>
      <c r="F48" s="53"/>
      <c r="G48" s="53"/>
      <c r="H48" s="53"/>
      <c r="I48" s="54"/>
      <c r="J48" s="3" t="s">
        <v>25</v>
      </c>
      <c r="K48" s="1" t="s">
        <v>186</v>
      </c>
      <c r="L48" s="1">
        <v>2588550</v>
      </c>
      <c r="M48" s="1">
        <v>760</v>
      </c>
      <c r="N48" s="1" t="s">
        <v>187</v>
      </c>
      <c r="O48" s="1" t="s">
        <v>188</v>
      </c>
      <c r="P48" s="16">
        <f t="shared" ref="P48:P49" si="4">SUM(Q48:AT48)</f>
        <v>30</v>
      </c>
      <c r="Q48" s="2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6">
        <v>1</v>
      </c>
      <c r="X48" s="2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20">
        <v>1</v>
      </c>
      <c r="AI48" s="3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  <c r="AS48" s="1">
        <v>1</v>
      </c>
      <c r="AT48" s="20">
        <v>1</v>
      </c>
    </row>
    <row r="49" spans="1:46" x14ac:dyDescent="0.45">
      <c r="A49" s="21">
        <v>43</v>
      </c>
      <c r="B49" s="7">
        <v>35</v>
      </c>
      <c r="C49" s="50"/>
      <c r="D49" s="50"/>
      <c r="E49" s="44">
        <v>2588559</v>
      </c>
      <c r="F49" s="45"/>
      <c r="G49" s="45"/>
      <c r="H49" s="45"/>
      <c r="I49" s="46"/>
      <c r="J49" s="3" t="s">
        <v>26</v>
      </c>
      <c r="K49" s="1" t="s">
        <v>189</v>
      </c>
      <c r="L49" s="1">
        <v>2588550</v>
      </c>
      <c r="M49" s="1">
        <v>1209.5</v>
      </c>
      <c r="N49" s="1" t="s">
        <v>190</v>
      </c>
      <c r="O49" s="1" t="s">
        <v>191</v>
      </c>
      <c r="P49" s="16">
        <f t="shared" si="4"/>
        <v>30</v>
      </c>
      <c r="Q49" s="2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6">
        <v>1</v>
      </c>
      <c r="X49" s="2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20">
        <v>1</v>
      </c>
      <c r="AI49" s="3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20">
        <v>1</v>
      </c>
    </row>
    <row r="50" spans="1:46" x14ac:dyDescent="0.45">
      <c r="A50" s="21">
        <v>46</v>
      </c>
      <c r="B50" s="7">
        <v>38</v>
      </c>
      <c r="C50" s="44">
        <v>2588600</v>
      </c>
      <c r="D50" s="45"/>
      <c r="E50" s="45"/>
      <c r="F50" s="45"/>
      <c r="G50" s="45"/>
      <c r="H50" s="45"/>
      <c r="I50" s="46"/>
      <c r="J50" s="1" t="s">
        <v>29</v>
      </c>
      <c r="K50" s="1" t="s">
        <v>198</v>
      </c>
      <c r="L50" s="1">
        <v>0</v>
      </c>
      <c r="M50" s="1">
        <v>1751.1</v>
      </c>
      <c r="N50" s="1" t="s">
        <v>199</v>
      </c>
      <c r="O50" s="1" t="s">
        <v>200</v>
      </c>
      <c r="P50" s="16">
        <f t="shared" si="0"/>
        <v>30</v>
      </c>
      <c r="Q50" s="2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6">
        <v>1</v>
      </c>
      <c r="X50" s="2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20">
        <v>1</v>
      </c>
      <c r="AI50" s="3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1</v>
      </c>
      <c r="AS50" s="1">
        <v>1</v>
      </c>
      <c r="AT50" s="20">
        <v>1</v>
      </c>
    </row>
    <row r="51" spans="1:46" x14ac:dyDescent="0.45">
      <c r="A51" s="21">
        <v>47</v>
      </c>
      <c r="B51" s="7">
        <v>39</v>
      </c>
      <c r="C51" s="44">
        <v>2588610</v>
      </c>
      <c r="D51" s="45"/>
      <c r="E51" s="45"/>
      <c r="F51" s="45"/>
      <c r="G51" s="45"/>
      <c r="H51" s="45"/>
      <c r="I51" s="46"/>
      <c r="J51" s="1" t="s">
        <v>30</v>
      </c>
      <c r="K51" s="1" t="s">
        <v>201</v>
      </c>
      <c r="L51" s="1">
        <v>0</v>
      </c>
      <c r="M51" s="1">
        <v>707</v>
      </c>
      <c r="N51" s="1" t="s">
        <v>202</v>
      </c>
      <c r="O51" s="1" t="s">
        <v>203</v>
      </c>
      <c r="P51" s="16">
        <f t="shared" si="0"/>
        <v>29</v>
      </c>
      <c r="Q51" s="2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6">
        <v>1</v>
      </c>
      <c r="X51" s="2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20">
        <v>1</v>
      </c>
      <c r="AI51" s="3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0</v>
      </c>
      <c r="AS51" s="1">
        <v>1</v>
      </c>
      <c r="AT51" s="20">
        <v>1</v>
      </c>
    </row>
    <row r="52" spans="1:46" x14ac:dyDescent="0.45">
      <c r="A52" s="22">
        <v>48</v>
      </c>
      <c r="B52" s="11" t="s">
        <v>433</v>
      </c>
      <c r="C52" s="62">
        <v>2588620</v>
      </c>
      <c r="D52" s="63"/>
      <c r="E52" s="63"/>
      <c r="F52" s="63"/>
      <c r="G52" s="63"/>
      <c r="H52" s="63"/>
      <c r="I52" s="64"/>
      <c r="J52" s="10" t="s">
        <v>31</v>
      </c>
      <c r="K52" s="10" t="s">
        <v>204</v>
      </c>
      <c r="L52" s="10">
        <v>0</v>
      </c>
      <c r="M52" s="10">
        <v>431.3</v>
      </c>
      <c r="N52" s="10" t="s">
        <v>205</v>
      </c>
      <c r="O52" s="10" t="s">
        <v>206</v>
      </c>
      <c r="P52" s="18">
        <f t="shared" si="0"/>
        <v>17</v>
      </c>
      <c r="Q52" s="22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8">
        <v>0</v>
      </c>
      <c r="X52" s="22">
        <v>1</v>
      </c>
      <c r="Y52" s="10">
        <v>1</v>
      </c>
      <c r="Z52" s="10">
        <v>1</v>
      </c>
      <c r="AA52" s="10">
        <v>1</v>
      </c>
      <c r="AB52" s="10">
        <v>1</v>
      </c>
      <c r="AC52" s="10">
        <v>1</v>
      </c>
      <c r="AD52" s="10">
        <v>1</v>
      </c>
      <c r="AE52" s="10">
        <v>1</v>
      </c>
      <c r="AF52" s="10">
        <v>1</v>
      </c>
      <c r="AG52" s="10">
        <v>0</v>
      </c>
      <c r="AH52" s="23">
        <v>0</v>
      </c>
      <c r="AI52" s="13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1</v>
      </c>
      <c r="AQ52" s="10">
        <v>1</v>
      </c>
      <c r="AR52" s="10">
        <v>1</v>
      </c>
      <c r="AS52" s="10">
        <v>1</v>
      </c>
      <c r="AT52" s="23">
        <v>1</v>
      </c>
    </row>
    <row r="53" spans="1:46" x14ac:dyDescent="0.45">
      <c r="A53" s="22">
        <v>49</v>
      </c>
      <c r="B53" s="11" t="s">
        <v>433</v>
      </c>
      <c r="C53" s="62">
        <v>2588630</v>
      </c>
      <c r="D53" s="63"/>
      <c r="E53" s="63"/>
      <c r="F53" s="63"/>
      <c r="G53" s="63"/>
      <c r="H53" s="63"/>
      <c r="I53" s="64"/>
      <c r="J53" s="10" t="s">
        <v>32</v>
      </c>
      <c r="K53" s="10" t="s">
        <v>207</v>
      </c>
      <c r="L53" s="10">
        <v>0</v>
      </c>
      <c r="M53" s="10">
        <v>1040</v>
      </c>
      <c r="N53" s="10" t="s">
        <v>208</v>
      </c>
      <c r="O53" s="10" t="s">
        <v>209</v>
      </c>
      <c r="P53" s="18">
        <f t="shared" si="0"/>
        <v>23</v>
      </c>
      <c r="Q53" s="22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8">
        <v>0</v>
      </c>
      <c r="X53" s="22">
        <v>1</v>
      </c>
      <c r="Y53" s="10">
        <v>1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  <c r="AF53" s="10">
        <v>1</v>
      </c>
      <c r="AG53" s="10">
        <v>1</v>
      </c>
      <c r="AH53" s="23">
        <v>1</v>
      </c>
      <c r="AI53" s="13">
        <v>1</v>
      </c>
      <c r="AJ53" s="10">
        <v>1</v>
      </c>
      <c r="AK53" s="10">
        <v>1</v>
      </c>
      <c r="AL53" s="10">
        <v>1</v>
      </c>
      <c r="AM53" s="10">
        <v>1</v>
      </c>
      <c r="AN53" s="10">
        <v>1</v>
      </c>
      <c r="AO53" s="10">
        <v>1</v>
      </c>
      <c r="AP53" s="10">
        <v>1</v>
      </c>
      <c r="AQ53" s="10">
        <v>1</v>
      </c>
      <c r="AR53" s="10">
        <v>1</v>
      </c>
      <c r="AS53" s="10">
        <v>1</v>
      </c>
      <c r="AT53" s="23">
        <v>1</v>
      </c>
    </row>
    <row r="54" spans="1:46" x14ac:dyDescent="0.45">
      <c r="A54" s="22">
        <v>50</v>
      </c>
      <c r="B54" s="11" t="s">
        <v>433</v>
      </c>
      <c r="C54" s="59">
        <v>2588640</v>
      </c>
      <c r="D54" s="67"/>
      <c r="E54" s="67"/>
      <c r="F54" s="67"/>
      <c r="G54" s="67"/>
      <c r="H54" s="67"/>
      <c r="I54" s="68"/>
      <c r="J54" s="10" t="s">
        <v>33</v>
      </c>
      <c r="K54" s="10" t="s">
        <v>210</v>
      </c>
      <c r="L54" s="10">
        <v>0</v>
      </c>
      <c r="M54" s="10">
        <v>1422</v>
      </c>
      <c r="N54" s="10" t="s">
        <v>211</v>
      </c>
      <c r="O54" s="10" t="s">
        <v>212</v>
      </c>
      <c r="P54" s="18">
        <f t="shared" si="0"/>
        <v>9</v>
      </c>
      <c r="Q54" s="22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8">
        <v>0</v>
      </c>
      <c r="X54" s="22">
        <v>1</v>
      </c>
      <c r="Y54" s="10">
        <v>1</v>
      </c>
      <c r="Z54" s="10">
        <v>1</v>
      </c>
      <c r="AA54" s="10">
        <v>1</v>
      </c>
      <c r="AB54" s="10">
        <v>1</v>
      </c>
      <c r="AC54" s="10">
        <v>1</v>
      </c>
      <c r="AD54" s="10">
        <v>1</v>
      </c>
      <c r="AE54" s="10">
        <v>1</v>
      </c>
      <c r="AF54" s="10">
        <v>1</v>
      </c>
      <c r="AG54" s="10">
        <v>0</v>
      </c>
      <c r="AH54" s="23">
        <v>0</v>
      </c>
      <c r="AI54" s="13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23">
        <v>0</v>
      </c>
    </row>
    <row r="55" spans="1:46" x14ac:dyDescent="0.45">
      <c r="A55" s="22">
        <v>51</v>
      </c>
      <c r="B55" s="11" t="s">
        <v>433</v>
      </c>
      <c r="C55" s="12"/>
      <c r="D55" s="67">
        <v>2588651</v>
      </c>
      <c r="E55" s="67"/>
      <c r="F55" s="67"/>
      <c r="G55" s="67"/>
      <c r="H55" s="67"/>
      <c r="I55" s="68"/>
      <c r="J55" s="13" t="s">
        <v>34</v>
      </c>
      <c r="K55" s="10" t="s">
        <v>213</v>
      </c>
      <c r="L55" s="10">
        <v>0</v>
      </c>
      <c r="M55" s="10">
        <v>4132.5</v>
      </c>
      <c r="N55" s="10" t="s">
        <v>214</v>
      </c>
      <c r="O55" s="10" t="s">
        <v>215</v>
      </c>
      <c r="P55" s="18">
        <f t="shared" si="0"/>
        <v>17</v>
      </c>
      <c r="Q55" s="22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8">
        <v>0</v>
      </c>
      <c r="X55" s="22">
        <v>1</v>
      </c>
      <c r="Y55" s="10">
        <v>1</v>
      </c>
      <c r="Z55" s="10">
        <v>1</v>
      </c>
      <c r="AA55" s="10">
        <v>1</v>
      </c>
      <c r="AB55" s="10">
        <v>1</v>
      </c>
      <c r="AC55" s="10">
        <v>1</v>
      </c>
      <c r="AD55" s="10">
        <v>1</v>
      </c>
      <c r="AE55" s="10">
        <v>1</v>
      </c>
      <c r="AF55" s="10">
        <v>1</v>
      </c>
      <c r="AG55" s="10">
        <v>0</v>
      </c>
      <c r="AH55" s="23">
        <v>0</v>
      </c>
      <c r="AI55" s="13">
        <v>0</v>
      </c>
      <c r="AJ55" s="10">
        <v>0</v>
      </c>
      <c r="AK55" s="10">
        <v>0</v>
      </c>
      <c r="AL55" s="10">
        <v>0</v>
      </c>
      <c r="AM55" s="10">
        <v>1</v>
      </c>
      <c r="AN55" s="10">
        <v>1</v>
      </c>
      <c r="AO55" s="10">
        <v>1</v>
      </c>
      <c r="AP55" s="10">
        <v>1</v>
      </c>
      <c r="AQ55" s="10">
        <v>1</v>
      </c>
      <c r="AR55" s="10">
        <v>1</v>
      </c>
      <c r="AS55" s="10">
        <v>1</v>
      </c>
      <c r="AT55" s="23">
        <v>1</v>
      </c>
    </row>
    <row r="56" spans="1:46" x14ac:dyDescent="0.45">
      <c r="A56" s="21">
        <v>52</v>
      </c>
      <c r="B56" s="7">
        <v>40</v>
      </c>
      <c r="C56" s="49"/>
      <c r="D56" s="48"/>
      <c r="E56" s="52">
        <v>2588652</v>
      </c>
      <c r="F56" s="52"/>
      <c r="G56" s="52"/>
      <c r="H56" s="52"/>
      <c r="I56" s="58"/>
      <c r="J56" s="3" t="s">
        <v>34</v>
      </c>
      <c r="K56" s="1" t="s">
        <v>213</v>
      </c>
      <c r="L56" s="1">
        <v>2588651</v>
      </c>
      <c r="M56" s="1">
        <v>3663.4</v>
      </c>
      <c r="N56" s="1" t="s">
        <v>216</v>
      </c>
      <c r="O56" s="1" t="s">
        <v>217</v>
      </c>
      <c r="P56" s="16">
        <f t="shared" si="0"/>
        <v>27</v>
      </c>
      <c r="Q56" s="2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6">
        <v>1</v>
      </c>
      <c r="X56" s="2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20">
        <v>1</v>
      </c>
      <c r="AI56" s="3">
        <v>1</v>
      </c>
      <c r="AJ56" s="1">
        <v>1</v>
      </c>
      <c r="AK56" s="1">
        <v>0</v>
      </c>
      <c r="AL56" s="1">
        <v>0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0</v>
      </c>
      <c r="AT56" s="20">
        <v>1</v>
      </c>
    </row>
    <row r="57" spans="1:46" x14ac:dyDescent="0.45">
      <c r="A57" s="21">
        <v>53</v>
      </c>
      <c r="B57" s="7">
        <v>41</v>
      </c>
      <c r="C57" s="49"/>
      <c r="D57" s="49"/>
      <c r="E57" s="48"/>
      <c r="F57" s="52">
        <v>2588653</v>
      </c>
      <c r="G57" s="52"/>
      <c r="H57" s="52"/>
      <c r="I57" s="58"/>
      <c r="J57" s="3" t="s">
        <v>34</v>
      </c>
      <c r="K57" s="1" t="s">
        <v>213</v>
      </c>
      <c r="L57" s="1">
        <v>2588652</v>
      </c>
      <c r="M57" s="1">
        <v>2283.5</v>
      </c>
      <c r="N57" s="1" t="s">
        <v>218</v>
      </c>
      <c r="O57" s="1" t="s">
        <v>219</v>
      </c>
      <c r="P57" s="16">
        <f t="shared" si="0"/>
        <v>30</v>
      </c>
      <c r="Q57" s="2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6">
        <v>1</v>
      </c>
      <c r="X57" s="2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20">
        <v>1</v>
      </c>
      <c r="AI57" s="3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20">
        <v>1</v>
      </c>
    </row>
    <row r="58" spans="1:46" x14ac:dyDescent="0.45">
      <c r="A58" s="21">
        <v>54</v>
      </c>
      <c r="B58" s="7">
        <v>42</v>
      </c>
      <c r="C58" s="50"/>
      <c r="D58" s="50"/>
      <c r="E58" s="50"/>
      <c r="F58" s="44">
        <v>2588654</v>
      </c>
      <c r="G58" s="45"/>
      <c r="H58" s="45"/>
      <c r="I58" s="46"/>
      <c r="J58" s="3" t="s">
        <v>34</v>
      </c>
      <c r="K58" s="1" t="s">
        <v>213</v>
      </c>
      <c r="L58" s="1">
        <v>2588653</v>
      </c>
      <c r="M58" s="1">
        <v>910.2</v>
      </c>
      <c r="N58" s="1" t="s">
        <v>220</v>
      </c>
      <c r="O58" s="1" t="s">
        <v>221</v>
      </c>
      <c r="P58" s="16">
        <f t="shared" si="0"/>
        <v>30</v>
      </c>
      <c r="Q58" s="2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6">
        <v>1</v>
      </c>
      <c r="X58" s="2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20">
        <v>1</v>
      </c>
      <c r="AI58" s="3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20">
        <v>1</v>
      </c>
    </row>
    <row r="59" spans="1:46" x14ac:dyDescent="0.45">
      <c r="A59" s="22">
        <v>55</v>
      </c>
      <c r="B59" s="11" t="s">
        <v>433</v>
      </c>
      <c r="C59" s="59">
        <v>2588655</v>
      </c>
      <c r="D59" s="67"/>
      <c r="E59" s="67"/>
      <c r="F59" s="67"/>
      <c r="G59" s="67"/>
      <c r="H59" s="67"/>
      <c r="I59" s="68"/>
      <c r="J59" s="10" t="s">
        <v>35</v>
      </c>
      <c r="K59" s="10" t="s">
        <v>222</v>
      </c>
      <c r="L59" s="10">
        <v>0</v>
      </c>
      <c r="M59" s="10">
        <v>796.4</v>
      </c>
      <c r="N59" s="10" t="s">
        <v>223</v>
      </c>
      <c r="O59" s="10" t="s">
        <v>224</v>
      </c>
      <c r="P59" s="18">
        <f t="shared" si="0"/>
        <v>17</v>
      </c>
      <c r="Q59" s="22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8">
        <v>0</v>
      </c>
      <c r="X59" s="22">
        <v>1</v>
      </c>
      <c r="Y59" s="10">
        <v>1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1</v>
      </c>
      <c r="AF59" s="10">
        <v>1</v>
      </c>
      <c r="AG59" s="10">
        <v>0</v>
      </c>
      <c r="AH59" s="23">
        <v>0</v>
      </c>
      <c r="AI59" s="13">
        <v>0</v>
      </c>
      <c r="AJ59" s="10">
        <v>0</v>
      </c>
      <c r="AK59" s="10">
        <v>0</v>
      </c>
      <c r="AL59" s="10">
        <v>0</v>
      </c>
      <c r="AM59" s="10">
        <v>1</v>
      </c>
      <c r="AN59" s="10">
        <v>1</v>
      </c>
      <c r="AO59" s="10">
        <v>1</v>
      </c>
      <c r="AP59" s="10">
        <v>1</v>
      </c>
      <c r="AQ59" s="10">
        <v>1</v>
      </c>
      <c r="AR59" s="10">
        <v>1</v>
      </c>
      <c r="AS59" s="10">
        <v>1</v>
      </c>
      <c r="AT59" s="23">
        <v>1</v>
      </c>
    </row>
    <row r="60" spans="1:46" x14ac:dyDescent="0.45">
      <c r="A60" s="21">
        <v>56</v>
      </c>
      <c r="B60" s="7">
        <v>43</v>
      </c>
      <c r="C60" s="48"/>
      <c r="D60" s="52">
        <v>2588700</v>
      </c>
      <c r="E60" s="52"/>
      <c r="F60" s="52"/>
      <c r="G60" s="52"/>
      <c r="H60" s="52"/>
      <c r="I60" s="58"/>
      <c r="J60" s="3" t="s">
        <v>36</v>
      </c>
      <c r="K60" s="1" t="s">
        <v>225</v>
      </c>
      <c r="L60" s="1">
        <v>0</v>
      </c>
      <c r="M60" s="1">
        <v>7869.4</v>
      </c>
      <c r="N60" s="1" t="s">
        <v>226</v>
      </c>
      <c r="O60" s="1" t="s">
        <v>227</v>
      </c>
      <c r="P60" s="16">
        <f t="shared" si="0"/>
        <v>30</v>
      </c>
      <c r="Q60" s="2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6">
        <v>1</v>
      </c>
      <c r="X60" s="2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20">
        <v>1</v>
      </c>
      <c r="AI60" s="3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20">
        <v>1</v>
      </c>
    </row>
    <row r="61" spans="1:46" x14ac:dyDescent="0.45">
      <c r="A61" s="21">
        <v>57</v>
      </c>
      <c r="B61" s="7">
        <v>44</v>
      </c>
      <c r="C61" s="51"/>
      <c r="D61" s="48"/>
      <c r="E61" s="52">
        <v>2588701</v>
      </c>
      <c r="F61" s="52"/>
      <c r="G61" s="52"/>
      <c r="H61" s="52"/>
      <c r="I61" s="58"/>
      <c r="J61" s="3" t="s">
        <v>36</v>
      </c>
      <c r="K61" s="1" t="s">
        <v>225</v>
      </c>
      <c r="L61" s="1">
        <v>2588700</v>
      </c>
      <c r="M61" s="1">
        <v>7800</v>
      </c>
      <c r="N61" s="1" t="s">
        <v>228</v>
      </c>
      <c r="O61" s="1" t="s">
        <v>229</v>
      </c>
      <c r="P61" s="16">
        <f t="shared" si="0"/>
        <v>30</v>
      </c>
      <c r="Q61" s="2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6">
        <v>1</v>
      </c>
      <c r="X61" s="2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20">
        <v>1</v>
      </c>
      <c r="AI61" s="3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1</v>
      </c>
      <c r="AP61" s="1">
        <v>1</v>
      </c>
      <c r="AQ61" s="1">
        <v>1</v>
      </c>
      <c r="AR61" s="1">
        <v>1</v>
      </c>
      <c r="AS61" s="1">
        <v>1</v>
      </c>
      <c r="AT61" s="20">
        <v>1</v>
      </c>
    </row>
    <row r="62" spans="1:46" x14ac:dyDescent="0.45">
      <c r="A62" s="21">
        <v>58</v>
      </c>
      <c r="B62" s="7">
        <v>45</v>
      </c>
      <c r="C62" s="51"/>
      <c r="D62" s="51"/>
      <c r="E62" s="48"/>
      <c r="F62" s="52">
        <v>2588702</v>
      </c>
      <c r="G62" s="52"/>
      <c r="H62" s="52"/>
      <c r="I62" s="58"/>
      <c r="J62" s="3" t="s">
        <v>36</v>
      </c>
      <c r="K62" s="1" t="s">
        <v>225</v>
      </c>
      <c r="L62" s="1">
        <v>2588701</v>
      </c>
      <c r="M62" s="1">
        <v>7065</v>
      </c>
      <c r="N62" s="1" t="s">
        <v>230</v>
      </c>
      <c r="O62" s="1" t="s">
        <v>231</v>
      </c>
      <c r="P62" s="16">
        <f t="shared" si="0"/>
        <v>29</v>
      </c>
      <c r="Q62" s="21">
        <v>0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6">
        <v>1</v>
      </c>
      <c r="X62" s="2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20">
        <v>1</v>
      </c>
      <c r="AI62" s="3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20">
        <v>1</v>
      </c>
    </row>
    <row r="63" spans="1:46" x14ac:dyDescent="0.45">
      <c r="A63" s="21">
        <v>59</v>
      </c>
      <c r="B63" s="7">
        <v>46</v>
      </c>
      <c r="C63" s="51"/>
      <c r="D63" s="51"/>
      <c r="E63" s="51"/>
      <c r="F63" s="48"/>
      <c r="G63" s="52">
        <v>2588703</v>
      </c>
      <c r="H63" s="52"/>
      <c r="I63" s="58"/>
      <c r="J63" s="3" t="s">
        <v>36</v>
      </c>
      <c r="K63" s="1" t="s">
        <v>225</v>
      </c>
      <c r="L63" s="1">
        <v>2588702</v>
      </c>
      <c r="M63" s="1">
        <v>6006</v>
      </c>
      <c r="N63" s="1" t="s">
        <v>232</v>
      </c>
      <c r="O63" s="1" t="s">
        <v>233</v>
      </c>
      <c r="P63" s="16">
        <f t="shared" si="0"/>
        <v>29</v>
      </c>
      <c r="Q63" s="21">
        <v>0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6">
        <v>1</v>
      </c>
      <c r="X63" s="2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20">
        <v>1</v>
      </c>
      <c r="AI63" s="3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20">
        <v>1</v>
      </c>
    </row>
    <row r="64" spans="1:46" x14ac:dyDescent="0.45">
      <c r="A64" s="21">
        <v>60</v>
      </c>
      <c r="B64" s="7">
        <v>47</v>
      </c>
      <c r="C64" s="51"/>
      <c r="D64" s="51"/>
      <c r="E64" s="51"/>
      <c r="F64" s="51"/>
      <c r="G64" s="48"/>
      <c r="H64" s="52">
        <v>2588704</v>
      </c>
      <c r="I64" s="58"/>
      <c r="J64" s="3" t="s">
        <v>36</v>
      </c>
      <c r="K64" s="1" t="s">
        <v>225</v>
      </c>
      <c r="L64" s="1">
        <v>2588703</v>
      </c>
      <c r="M64" s="1">
        <v>5458.7</v>
      </c>
      <c r="N64" s="1" t="s">
        <v>234</v>
      </c>
      <c r="O64" s="1" t="s">
        <v>235</v>
      </c>
      <c r="P64" s="16">
        <f t="shared" si="0"/>
        <v>29</v>
      </c>
      <c r="Q64" s="21">
        <v>0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6">
        <v>1</v>
      </c>
      <c r="X64" s="2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20">
        <v>1</v>
      </c>
      <c r="AI64" s="3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1</v>
      </c>
      <c r="AT64" s="20">
        <v>1</v>
      </c>
    </row>
    <row r="65" spans="1:46" x14ac:dyDescent="0.45">
      <c r="A65" s="21">
        <v>61</v>
      </c>
      <c r="B65" s="7">
        <v>48</v>
      </c>
      <c r="C65" s="51"/>
      <c r="D65" s="51"/>
      <c r="E65" s="51"/>
      <c r="F65" s="51"/>
      <c r="G65" s="51"/>
      <c r="H65" s="48"/>
      <c r="I65" s="5">
        <v>2588705</v>
      </c>
      <c r="J65" s="3" t="s">
        <v>36</v>
      </c>
      <c r="K65" s="1" t="s">
        <v>225</v>
      </c>
      <c r="L65" s="1">
        <v>2588704</v>
      </c>
      <c r="M65" s="1">
        <v>4228.6000000000004</v>
      </c>
      <c r="N65" s="1" t="s">
        <v>236</v>
      </c>
      <c r="O65" s="1" t="s">
        <v>237</v>
      </c>
      <c r="P65" s="16">
        <f t="shared" si="0"/>
        <v>29</v>
      </c>
      <c r="Q65" s="21">
        <v>0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6">
        <v>1</v>
      </c>
      <c r="X65" s="2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20">
        <v>1</v>
      </c>
      <c r="AI65" s="3">
        <v>1</v>
      </c>
      <c r="AJ65" s="1">
        <v>1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1</v>
      </c>
      <c r="AQ65" s="1">
        <v>1</v>
      </c>
      <c r="AR65" s="1">
        <v>1</v>
      </c>
      <c r="AS65" s="1">
        <v>1</v>
      </c>
      <c r="AT65" s="20">
        <v>1</v>
      </c>
    </row>
    <row r="66" spans="1:46" x14ac:dyDescent="0.45">
      <c r="A66" s="21">
        <v>62</v>
      </c>
      <c r="B66" s="7">
        <v>49</v>
      </c>
      <c r="C66" s="51"/>
      <c r="D66" s="51"/>
      <c r="E66" s="51"/>
      <c r="F66" s="51"/>
      <c r="G66" s="51"/>
      <c r="H66" s="49"/>
      <c r="I66" s="1">
        <v>2588706</v>
      </c>
      <c r="J66" s="3" t="s">
        <v>36</v>
      </c>
      <c r="K66" s="1" t="s">
        <v>225</v>
      </c>
      <c r="L66" s="1">
        <v>2588705</v>
      </c>
      <c r="M66" s="1">
        <v>1078.5</v>
      </c>
      <c r="N66" s="1" t="s">
        <v>238</v>
      </c>
      <c r="O66" s="1" t="s">
        <v>239</v>
      </c>
      <c r="P66" s="16">
        <f t="shared" si="0"/>
        <v>27</v>
      </c>
      <c r="Q66" s="2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6">
        <v>1</v>
      </c>
      <c r="X66" s="2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0</v>
      </c>
      <c r="AE66" s="1">
        <v>1</v>
      </c>
      <c r="AF66" s="1">
        <v>1</v>
      </c>
      <c r="AG66" s="1">
        <v>1</v>
      </c>
      <c r="AH66" s="20">
        <v>1</v>
      </c>
      <c r="AI66" s="3">
        <v>1</v>
      </c>
      <c r="AJ66" s="1">
        <v>1</v>
      </c>
      <c r="AK66" s="1">
        <v>0</v>
      </c>
      <c r="AL66" s="1">
        <v>0</v>
      </c>
      <c r="AM66" s="1">
        <v>1</v>
      </c>
      <c r="AN66" s="1">
        <v>1</v>
      </c>
      <c r="AO66" s="1">
        <v>1</v>
      </c>
      <c r="AP66" s="1">
        <v>1</v>
      </c>
      <c r="AQ66" s="1">
        <v>1</v>
      </c>
      <c r="AR66" s="1">
        <v>1</v>
      </c>
      <c r="AS66" s="1">
        <v>1</v>
      </c>
      <c r="AT66" s="20">
        <v>1</v>
      </c>
    </row>
    <row r="67" spans="1:46" x14ac:dyDescent="0.45">
      <c r="A67" s="21">
        <v>63</v>
      </c>
      <c r="B67" s="7">
        <v>50</v>
      </c>
      <c r="C67" s="51"/>
      <c r="D67" s="51"/>
      <c r="E67" s="51"/>
      <c r="F67" s="51"/>
      <c r="G67" s="51"/>
      <c r="H67" s="50"/>
      <c r="I67" s="1">
        <v>2588707</v>
      </c>
      <c r="J67" s="3" t="s">
        <v>37</v>
      </c>
      <c r="K67" s="1" t="s">
        <v>240</v>
      </c>
      <c r="L67" s="1">
        <v>2588705</v>
      </c>
      <c r="M67" s="1">
        <v>959.9</v>
      </c>
      <c r="N67" s="1" t="s">
        <v>241</v>
      </c>
      <c r="O67" s="1" t="s">
        <v>242</v>
      </c>
      <c r="P67" s="16">
        <f t="shared" si="0"/>
        <v>29</v>
      </c>
      <c r="Q67" s="21">
        <v>0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6">
        <v>1</v>
      </c>
      <c r="X67" s="2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20">
        <v>1</v>
      </c>
      <c r="AI67" s="3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20">
        <v>1</v>
      </c>
    </row>
    <row r="68" spans="1:46" x14ac:dyDescent="0.45">
      <c r="A68" s="22">
        <v>64</v>
      </c>
      <c r="B68" s="11" t="s">
        <v>433</v>
      </c>
      <c r="C68" s="14"/>
      <c r="D68" s="14"/>
      <c r="E68" s="14"/>
      <c r="F68" s="14"/>
      <c r="G68" s="14"/>
      <c r="H68" s="62">
        <v>2588708</v>
      </c>
      <c r="I68" s="64"/>
      <c r="J68" s="13" t="s">
        <v>38</v>
      </c>
      <c r="K68" s="10" t="s">
        <v>243</v>
      </c>
      <c r="L68" s="10">
        <v>2588704</v>
      </c>
      <c r="M68" s="10">
        <v>885.5</v>
      </c>
      <c r="N68" s="10" t="s">
        <v>244</v>
      </c>
      <c r="O68" s="10" t="s">
        <v>245</v>
      </c>
      <c r="P68" s="18">
        <f t="shared" si="0"/>
        <v>20</v>
      </c>
      <c r="Q68" s="22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8">
        <v>0</v>
      </c>
      <c r="X68" s="22">
        <v>1</v>
      </c>
      <c r="Y68" s="10">
        <v>1</v>
      </c>
      <c r="Z68" s="10">
        <v>1</v>
      </c>
      <c r="AA68" s="10">
        <v>1</v>
      </c>
      <c r="AB68" s="10">
        <v>1</v>
      </c>
      <c r="AC68" s="10">
        <v>1</v>
      </c>
      <c r="AD68" s="10">
        <v>1</v>
      </c>
      <c r="AE68" s="10">
        <v>1</v>
      </c>
      <c r="AF68" s="10">
        <v>1</v>
      </c>
      <c r="AG68" s="10">
        <v>1</v>
      </c>
      <c r="AH68" s="23">
        <v>1</v>
      </c>
      <c r="AI68" s="13">
        <v>1</v>
      </c>
      <c r="AJ68" s="10">
        <v>1</v>
      </c>
      <c r="AK68" s="10">
        <v>0</v>
      </c>
      <c r="AL68" s="10">
        <v>0</v>
      </c>
      <c r="AM68" s="10">
        <v>1</v>
      </c>
      <c r="AN68" s="10">
        <v>1</v>
      </c>
      <c r="AO68" s="10">
        <v>1</v>
      </c>
      <c r="AP68" s="10">
        <v>0</v>
      </c>
      <c r="AQ68" s="10">
        <v>1</v>
      </c>
      <c r="AR68" s="10">
        <v>1</v>
      </c>
      <c r="AS68" s="10">
        <v>1</v>
      </c>
      <c r="AT68" s="23">
        <v>1</v>
      </c>
    </row>
    <row r="69" spans="1:46" x14ac:dyDescent="0.45">
      <c r="A69" s="21">
        <v>65</v>
      </c>
      <c r="B69" s="7">
        <v>51</v>
      </c>
      <c r="C69" s="44">
        <v>2588709</v>
      </c>
      <c r="D69" s="45"/>
      <c r="E69" s="45"/>
      <c r="F69" s="45"/>
      <c r="G69" s="45"/>
      <c r="H69" s="45"/>
      <c r="I69" s="46"/>
      <c r="J69" s="1" t="s">
        <v>39</v>
      </c>
      <c r="K69" s="1" t="s">
        <v>246</v>
      </c>
      <c r="L69" s="1">
        <v>0</v>
      </c>
      <c r="M69" s="1">
        <v>405</v>
      </c>
      <c r="N69" s="1" t="s">
        <v>247</v>
      </c>
      <c r="O69" s="1" t="s">
        <v>248</v>
      </c>
      <c r="P69" s="16">
        <f t="shared" si="0"/>
        <v>30</v>
      </c>
      <c r="Q69" s="2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6">
        <v>1</v>
      </c>
      <c r="X69" s="2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20">
        <v>1</v>
      </c>
      <c r="AI69" s="3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  <c r="AT69" s="20">
        <v>1</v>
      </c>
    </row>
    <row r="70" spans="1:46" x14ac:dyDescent="0.45">
      <c r="A70" s="21">
        <v>66</v>
      </c>
      <c r="B70" s="7">
        <v>52</v>
      </c>
      <c r="C70" s="44">
        <v>2588800</v>
      </c>
      <c r="D70" s="45"/>
      <c r="E70" s="45"/>
      <c r="F70" s="45"/>
      <c r="G70" s="45"/>
      <c r="H70" s="45"/>
      <c r="I70" s="46"/>
      <c r="J70" s="1" t="s">
        <v>40</v>
      </c>
      <c r="K70" s="1" t="s">
        <v>249</v>
      </c>
      <c r="L70" s="1">
        <v>0</v>
      </c>
      <c r="M70" s="1">
        <v>568</v>
      </c>
      <c r="N70" s="1" t="s">
        <v>250</v>
      </c>
      <c r="O70" s="1" t="s">
        <v>251</v>
      </c>
      <c r="P70" s="16">
        <f t="shared" ref="P70:P131" si="5">SUM(Q70:AT70)</f>
        <v>26</v>
      </c>
      <c r="Q70" s="21">
        <v>0</v>
      </c>
      <c r="R70" s="1">
        <v>0</v>
      </c>
      <c r="S70" s="1">
        <v>0</v>
      </c>
      <c r="T70" s="1">
        <v>1</v>
      </c>
      <c r="U70" s="1">
        <v>1</v>
      </c>
      <c r="V70" s="1">
        <v>1</v>
      </c>
      <c r="W70" s="16">
        <v>1</v>
      </c>
      <c r="X70" s="2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20">
        <v>1</v>
      </c>
      <c r="AI70" s="3">
        <v>1</v>
      </c>
      <c r="AJ70" s="1">
        <v>0</v>
      </c>
      <c r="AK70" s="1">
        <v>1</v>
      </c>
      <c r="AL70" s="1">
        <v>1</v>
      </c>
      <c r="AM70" s="1">
        <v>1</v>
      </c>
      <c r="AN70" s="1">
        <v>1</v>
      </c>
      <c r="AO70" s="1">
        <v>1</v>
      </c>
      <c r="AP70" s="1">
        <v>1</v>
      </c>
      <c r="AQ70" s="1">
        <v>1</v>
      </c>
      <c r="AR70" s="1">
        <v>1</v>
      </c>
      <c r="AS70" s="1">
        <v>1</v>
      </c>
      <c r="AT70" s="20">
        <v>1</v>
      </c>
    </row>
    <row r="71" spans="1:46" x14ac:dyDescent="0.45">
      <c r="A71" s="22">
        <v>67</v>
      </c>
      <c r="B71" s="11" t="s">
        <v>433</v>
      </c>
      <c r="C71" s="62">
        <v>2588900</v>
      </c>
      <c r="D71" s="63"/>
      <c r="E71" s="63"/>
      <c r="F71" s="63"/>
      <c r="G71" s="63"/>
      <c r="H71" s="63"/>
      <c r="I71" s="64"/>
      <c r="J71" s="10" t="s">
        <v>41</v>
      </c>
      <c r="K71" s="10" t="s">
        <v>252</v>
      </c>
      <c r="L71" s="10">
        <v>0</v>
      </c>
      <c r="M71" s="10">
        <v>537.29999999999995</v>
      </c>
      <c r="N71" s="10" t="s">
        <v>253</v>
      </c>
      <c r="O71" s="10" t="s">
        <v>254</v>
      </c>
      <c r="P71" s="18">
        <f t="shared" si="5"/>
        <v>23</v>
      </c>
      <c r="Q71" s="22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8">
        <v>0</v>
      </c>
      <c r="X71" s="22">
        <v>1</v>
      </c>
      <c r="Y71" s="10">
        <v>1</v>
      </c>
      <c r="Z71" s="10">
        <v>1</v>
      </c>
      <c r="AA71" s="10">
        <v>1</v>
      </c>
      <c r="AB71" s="10">
        <v>1</v>
      </c>
      <c r="AC71" s="10">
        <v>1</v>
      </c>
      <c r="AD71" s="10">
        <v>1</v>
      </c>
      <c r="AE71" s="10">
        <v>1</v>
      </c>
      <c r="AF71" s="10">
        <v>1</v>
      </c>
      <c r="AG71" s="10">
        <v>1</v>
      </c>
      <c r="AH71" s="23">
        <v>1</v>
      </c>
      <c r="AI71" s="13">
        <v>1</v>
      </c>
      <c r="AJ71" s="10">
        <v>1</v>
      </c>
      <c r="AK71" s="10">
        <v>1</v>
      </c>
      <c r="AL71" s="10">
        <v>1</v>
      </c>
      <c r="AM71" s="10">
        <v>1</v>
      </c>
      <c r="AN71" s="10">
        <v>1</v>
      </c>
      <c r="AO71" s="10">
        <v>1</v>
      </c>
      <c r="AP71" s="10">
        <v>1</v>
      </c>
      <c r="AQ71" s="10">
        <v>1</v>
      </c>
      <c r="AR71" s="10">
        <v>1</v>
      </c>
      <c r="AS71" s="10">
        <v>1</v>
      </c>
      <c r="AT71" s="23">
        <v>1</v>
      </c>
    </row>
    <row r="72" spans="1:46" x14ac:dyDescent="0.45">
      <c r="A72" s="22">
        <v>68</v>
      </c>
      <c r="B72" s="11" t="s">
        <v>433</v>
      </c>
      <c r="C72" s="62">
        <v>2588910</v>
      </c>
      <c r="D72" s="63"/>
      <c r="E72" s="63"/>
      <c r="F72" s="63"/>
      <c r="G72" s="63"/>
      <c r="H72" s="63"/>
      <c r="I72" s="64"/>
      <c r="J72" s="10" t="s">
        <v>42</v>
      </c>
      <c r="K72" s="10" t="s">
        <v>255</v>
      </c>
      <c r="L72" s="10">
        <v>0</v>
      </c>
      <c r="M72" s="10">
        <v>1160</v>
      </c>
      <c r="N72" s="10" t="s">
        <v>256</v>
      </c>
      <c r="O72" s="10" t="s">
        <v>257</v>
      </c>
      <c r="P72" s="18">
        <f t="shared" si="5"/>
        <v>21</v>
      </c>
      <c r="Q72" s="22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8">
        <v>0</v>
      </c>
      <c r="X72" s="22">
        <v>1</v>
      </c>
      <c r="Y72" s="10">
        <v>1</v>
      </c>
      <c r="Z72" s="10">
        <v>1</v>
      </c>
      <c r="AA72" s="10">
        <v>1</v>
      </c>
      <c r="AB72" s="10">
        <v>1</v>
      </c>
      <c r="AC72" s="10">
        <v>1</v>
      </c>
      <c r="AD72" s="10">
        <v>1</v>
      </c>
      <c r="AE72" s="10">
        <v>1</v>
      </c>
      <c r="AF72" s="10">
        <v>1</v>
      </c>
      <c r="AG72" s="10">
        <v>1</v>
      </c>
      <c r="AH72" s="23">
        <v>1</v>
      </c>
      <c r="AI72" s="13">
        <v>0</v>
      </c>
      <c r="AJ72" s="10">
        <v>1</v>
      </c>
      <c r="AK72" s="10">
        <v>0</v>
      </c>
      <c r="AL72" s="10">
        <v>1</v>
      </c>
      <c r="AM72" s="10">
        <v>1</v>
      </c>
      <c r="AN72" s="10">
        <v>1</v>
      </c>
      <c r="AO72" s="10">
        <v>1</v>
      </c>
      <c r="AP72" s="10">
        <v>1</v>
      </c>
      <c r="AQ72" s="10">
        <v>1</v>
      </c>
      <c r="AR72" s="10">
        <v>1</v>
      </c>
      <c r="AS72" s="10">
        <v>1</v>
      </c>
      <c r="AT72" s="23">
        <v>1</v>
      </c>
    </row>
    <row r="73" spans="1:46" x14ac:dyDescent="0.45">
      <c r="A73" s="22">
        <v>69</v>
      </c>
      <c r="B73" s="11" t="s">
        <v>433</v>
      </c>
      <c r="C73" s="62">
        <v>2588920</v>
      </c>
      <c r="D73" s="63"/>
      <c r="E73" s="63"/>
      <c r="F73" s="63"/>
      <c r="G73" s="63"/>
      <c r="H73" s="63"/>
      <c r="I73" s="64"/>
      <c r="J73" s="10" t="s">
        <v>43</v>
      </c>
      <c r="K73" s="10" t="s">
        <v>258</v>
      </c>
      <c r="L73" s="10">
        <v>0</v>
      </c>
      <c r="M73" s="10">
        <v>780</v>
      </c>
      <c r="N73" s="10" t="s">
        <v>259</v>
      </c>
      <c r="O73" s="10" t="s">
        <v>260</v>
      </c>
      <c r="P73" s="18">
        <f t="shared" si="5"/>
        <v>23</v>
      </c>
      <c r="Q73" s="22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8">
        <v>0</v>
      </c>
      <c r="X73" s="22">
        <v>1</v>
      </c>
      <c r="Y73" s="10">
        <v>1</v>
      </c>
      <c r="Z73" s="10">
        <v>1</v>
      </c>
      <c r="AA73" s="10">
        <v>1</v>
      </c>
      <c r="AB73" s="10">
        <v>1</v>
      </c>
      <c r="AC73" s="10">
        <v>1</v>
      </c>
      <c r="AD73" s="10">
        <v>1</v>
      </c>
      <c r="AE73" s="10">
        <v>1</v>
      </c>
      <c r="AF73" s="10">
        <v>1</v>
      </c>
      <c r="AG73" s="10">
        <v>1</v>
      </c>
      <c r="AH73" s="23">
        <v>1</v>
      </c>
      <c r="AI73" s="13">
        <v>1</v>
      </c>
      <c r="AJ73" s="10">
        <v>1</v>
      </c>
      <c r="AK73" s="10">
        <v>1</v>
      </c>
      <c r="AL73" s="10">
        <v>1</v>
      </c>
      <c r="AM73" s="10">
        <v>1</v>
      </c>
      <c r="AN73" s="10">
        <v>1</v>
      </c>
      <c r="AO73" s="10">
        <v>1</v>
      </c>
      <c r="AP73" s="10">
        <v>1</v>
      </c>
      <c r="AQ73" s="10">
        <v>1</v>
      </c>
      <c r="AR73" s="10">
        <v>1</v>
      </c>
      <c r="AS73" s="10">
        <v>1</v>
      </c>
      <c r="AT73" s="23">
        <v>1</v>
      </c>
    </row>
    <row r="74" spans="1:46" x14ac:dyDescent="0.45">
      <c r="A74" s="22">
        <v>71</v>
      </c>
      <c r="B74" s="11" t="s">
        <v>433</v>
      </c>
      <c r="C74" s="59"/>
      <c r="D74" s="65">
        <v>2589101</v>
      </c>
      <c r="E74" s="65"/>
      <c r="F74" s="65"/>
      <c r="G74" s="65"/>
      <c r="H74" s="65"/>
      <c r="I74" s="66"/>
      <c r="J74" s="13" t="s">
        <v>44</v>
      </c>
      <c r="K74" s="10" t="s">
        <v>261</v>
      </c>
      <c r="L74" s="10">
        <v>0</v>
      </c>
      <c r="M74" s="10">
        <v>1996.1</v>
      </c>
      <c r="N74" s="10" t="s">
        <v>264</v>
      </c>
      <c r="O74" s="10" t="s">
        <v>265</v>
      </c>
      <c r="P74" s="18">
        <f>SUM(Q74:AT74)</f>
        <v>22</v>
      </c>
      <c r="Q74" s="22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8">
        <v>0</v>
      </c>
      <c r="X74" s="22">
        <v>1</v>
      </c>
      <c r="Y74" s="10">
        <v>1</v>
      </c>
      <c r="Z74" s="10">
        <v>1</v>
      </c>
      <c r="AA74" s="10">
        <v>1</v>
      </c>
      <c r="AB74" s="10">
        <v>1</v>
      </c>
      <c r="AC74" s="10">
        <v>1</v>
      </c>
      <c r="AD74" s="10">
        <v>1</v>
      </c>
      <c r="AE74" s="10">
        <v>1</v>
      </c>
      <c r="AF74" s="10">
        <v>1</v>
      </c>
      <c r="AG74" s="10">
        <v>1</v>
      </c>
      <c r="AH74" s="23">
        <v>1</v>
      </c>
      <c r="AI74" s="13">
        <v>1</v>
      </c>
      <c r="AJ74" s="10">
        <v>1</v>
      </c>
      <c r="AK74" s="10">
        <v>1</v>
      </c>
      <c r="AL74" s="10">
        <v>1</v>
      </c>
      <c r="AM74" s="10">
        <v>1</v>
      </c>
      <c r="AN74" s="10">
        <v>1</v>
      </c>
      <c r="AO74" s="10">
        <v>0</v>
      </c>
      <c r="AP74" s="10">
        <v>1</v>
      </c>
      <c r="AQ74" s="10">
        <v>1</v>
      </c>
      <c r="AR74" s="10">
        <v>1</v>
      </c>
      <c r="AS74" s="10">
        <v>1</v>
      </c>
      <c r="AT74" s="23">
        <v>1</v>
      </c>
    </row>
    <row r="75" spans="1:46" x14ac:dyDescent="0.45">
      <c r="A75" s="22">
        <v>70</v>
      </c>
      <c r="B75" s="11" t="s">
        <v>433</v>
      </c>
      <c r="C75" s="61"/>
      <c r="D75" s="62">
        <v>2589100</v>
      </c>
      <c r="E75" s="63"/>
      <c r="F75" s="63"/>
      <c r="G75" s="63"/>
      <c r="H75" s="63"/>
      <c r="I75" s="64"/>
      <c r="J75" s="13" t="s">
        <v>44</v>
      </c>
      <c r="K75" s="10" t="s">
        <v>261</v>
      </c>
      <c r="L75" s="10">
        <v>2589101</v>
      </c>
      <c r="M75" s="10">
        <v>1675.1</v>
      </c>
      <c r="N75" s="10" t="s">
        <v>262</v>
      </c>
      <c r="O75" s="10" t="s">
        <v>263</v>
      </c>
      <c r="P75" s="18">
        <f t="shared" ref="P75" si="6">SUM(Q75:AT75)</f>
        <v>23</v>
      </c>
      <c r="Q75" s="22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8">
        <v>0</v>
      </c>
      <c r="X75" s="22">
        <v>1</v>
      </c>
      <c r="Y75" s="10">
        <v>1</v>
      </c>
      <c r="Z75" s="10">
        <v>1</v>
      </c>
      <c r="AA75" s="10">
        <v>1</v>
      </c>
      <c r="AB75" s="10">
        <v>1</v>
      </c>
      <c r="AC75" s="10">
        <v>1</v>
      </c>
      <c r="AD75" s="10">
        <v>1</v>
      </c>
      <c r="AE75" s="10">
        <v>1</v>
      </c>
      <c r="AF75" s="10">
        <v>1</v>
      </c>
      <c r="AG75" s="10">
        <v>1</v>
      </c>
      <c r="AH75" s="23">
        <v>1</v>
      </c>
      <c r="AI75" s="13">
        <v>1</v>
      </c>
      <c r="AJ75" s="10">
        <v>1</v>
      </c>
      <c r="AK75" s="10">
        <v>1</v>
      </c>
      <c r="AL75" s="10">
        <v>1</v>
      </c>
      <c r="AM75" s="10">
        <v>1</v>
      </c>
      <c r="AN75" s="10">
        <v>1</v>
      </c>
      <c r="AO75" s="10">
        <v>1</v>
      </c>
      <c r="AP75" s="10">
        <v>1</v>
      </c>
      <c r="AQ75" s="10">
        <v>1</v>
      </c>
      <c r="AR75" s="10">
        <v>1</v>
      </c>
      <c r="AS75" s="10">
        <v>1</v>
      </c>
      <c r="AT75" s="23">
        <v>1</v>
      </c>
    </row>
    <row r="76" spans="1:46" x14ac:dyDescent="0.45">
      <c r="A76" s="22">
        <v>72</v>
      </c>
      <c r="B76" s="11" t="s">
        <v>433</v>
      </c>
      <c r="C76" s="59"/>
      <c r="D76" s="67">
        <v>2589200</v>
      </c>
      <c r="E76" s="67"/>
      <c r="F76" s="67"/>
      <c r="G76" s="67"/>
      <c r="H76" s="67"/>
      <c r="I76" s="68"/>
      <c r="J76" s="13" t="s">
        <v>45</v>
      </c>
      <c r="K76" s="10" t="s">
        <v>266</v>
      </c>
      <c r="L76" s="10">
        <v>0</v>
      </c>
      <c r="M76" s="10">
        <v>3807</v>
      </c>
      <c r="N76" s="10" t="s">
        <v>267</v>
      </c>
      <c r="O76" s="10" t="s">
        <v>268</v>
      </c>
      <c r="P76" s="18">
        <f t="shared" si="5"/>
        <v>24</v>
      </c>
      <c r="Q76" s="22">
        <v>1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8">
        <v>0</v>
      </c>
      <c r="X76" s="22">
        <v>1</v>
      </c>
      <c r="Y76" s="10">
        <v>1</v>
      </c>
      <c r="Z76" s="10">
        <v>1</v>
      </c>
      <c r="AA76" s="10">
        <v>1</v>
      </c>
      <c r="AB76" s="10">
        <v>1</v>
      </c>
      <c r="AC76" s="10">
        <v>1</v>
      </c>
      <c r="AD76" s="10">
        <v>1</v>
      </c>
      <c r="AE76" s="10">
        <v>1</v>
      </c>
      <c r="AF76" s="10">
        <v>1</v>
      </c>
      <c r="AG76" s="10">
        <v>1</v>
      </c>
      <c r="AH76" s="23">
        <v>1</v>
      </c>
      <c r="AI76" s="13">
        <v>1</v>
      </c>
      <c r="AJ76" s="10">
        <v>1</v>
      </c>
      <c r="AK76" s="10">
        <v>1</v>
      </c>
      <c r="AL76" s="10">
        <v>1</v>
      </c>
      <c r="AM76" s="10">
        <v>1</v>
      </c>
      <c r="AN76" s="10">
        <v>1</v>
      </c>
      <c r="AO76" s="10">
        <v>1</v>
      </c>
      <c r="AP76" s="10">
        <v>1</v>
      </c>
      <c r="AQ76" s="10">
        <v>1</v>
      </c>
      <c r="AR76" s="10">
        <v>1</v>
      </c>
      <c r="AS76" s="10">
        <v>1</v>
      </c>
      <c r="AT76" s="23">
        <v>1</v>
      </c>
    </row>
    <row r="77" spans="1:46" x14ac:dyDescent="0.45">
      <c r="A77" s="22">
        <v>73</v>
      </c>
      <c r="B77" s="11" t="s">
        <v>433</v>
      </c>
      <c r="C77" s="70"/>
      <c r="D77" s="59"/>
      <c r="E77" s="67">
        <v>2589201</v>
      </c>
      <c r="F77" s="67"/>
      <c r="G77" s="67"/>
      <c r="H77" s="67"/>
      <c r="I77" s="68"/>
      <c r="J77" s="13" t="s">
        <v>45</v>
      </c>
      <c r="K77" s="10" t="s">
        <v>266</v>
      </c>
      <c r="L77" s="10">
        <v>2589200</v>
      </c>
      <c r="M77" s="10">
        <v>2890</v>
      </c>
      <c r="N77" s="10" t="s">
        <v>269</v>
      </c>
      <c r="O77" s="10" t="s">
        <v>270</v>
      </c>
      <c r="P77" s="18">
        <f t="shared" si="5"/>
        <v>23</v>
      </c>
      <c r="Q77" s="22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8">
        <v>0</v>
      </c>
      <c r="X77" s="22">
        <v>1</v>
      </c>
      <c r="Y77" s="10">
        <v>1</v>
      </c>
      <c r="Z77" s="10">
        <v>1</v>
      </c>
      <c r="AA77" s="10">
        <v>1</v>
      </c>
      <c r="AB77" s="10">
        <v>1</v>
      </c>
      <c r="AC77" s="10">
        <v>1</v>
      </c>
      <c r="AD77" s="10">
        <v>1</v>
      </c>
      <c r="AE77" s="10">
        <v>1</v>
      </c>
      <c r="AF77" s="10">
        <v>1</v>
      </c>
      <c r="AG77" s="10">
        <v>1</v>
      </c>
      <c r="AH77" s="23">
        <v>1</v>
      </c>
      <c r="AI77" s="13">
        <v>1</v>
      </c>
      <c r="AJ77" s="10">
        <v>1</v>
      </c>
      <c r="AK77" s="10">
        <v>1</v>
      </c>
      <c r="AL77" s="10">
        <v>1</v>
      </c>
      <c r="AM77" s="10">
        <v>1</v>
      </c>
      <c r="AN77" s="10">
        <v>1</v>
      </c>
      <c r="AO77" s="10">
        <v>1</v>
      </c>
      <c r="AP77" s="10">
        <v>1</v>
      </c>
      <c r="AQ77" s="10">
        <v>1</v>
      </c>
      <c r="AR77" s="10">
        <v>1</v>
      </c>
      <c r="AS77" s="10">
        <v>1</v>
      </c>
      <c r="AT77" s="23">
        <v>1</v>
      </c>
    </row>
    <row r="78" spans="1:46" x14ac:dyDescent="0.45">
      <c r="A78" s="22">
        <v>74</v>
      </c>
      <c r="B78" s="11" t="s">
        <v>433</v>
      </c>
      <c r="C78" s="71"/>
      <c r="D78" s="71"/>
      <c r="E78" s="62">
        <v>2589202</v>
      </c>
      <c r="F78" s="63"/>
      <c r="G78" s="63"/>
      <c r="H78" s="63"/>
      <c r="I78" s="64"/>
      <c r="J78" s="13" t="s">
        <v>45</v>
      </c>
      <c r="K78" s="10" t="s">
        <v>266</v>
      </c>
      <c r="L78" s="10">
        <v>2589201</v>
      </c>
      <c r="M78" s="10">
        <v>1981</v>
      </c>
      <c r="N78" s="10" t="s">
        <v>271</v>
      </c>
      <c r="O78" s="10" t="s">
        <v>272</v>
      </c>
      <c r="P78" s="18">
        <f t="shared" si="5"/>
        <v>23</v>
      </c>
      <c r="Q78" s="22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8">
        <v>0</v>
      </c>
      <c r="X78" s="22">
        <v>1</v>
      </c>
      <c r="Y78" s="10">
        <v>1</v>
      </c>
      <c r="Z78" s="10">
        <v>1</v>
      </c>
      <c r="AA78" s="10">
        <v>1</v>
      </c>
      <c r="AB78" s="10">
        <v>1</v>
      </c>
      <c r="AC78" s="10">
        <v>1</v>
      </c>
      <c r="AD78" s="10">
        <v>1</v>
      </c>
      <c r="AE78" s="10">
        <v>1</v>
      </c>
      <c r="AF78" s="10">
        <v>1</v>
      </c>
      <c r="AG78" s="10">
        <v>1</v>
      </c>
      <c r="AH78" s="23">
        <v>1</v>
      </c>
      <c r="AI78" s="13">
        <v>1</v>
      </c>
      <c r="AJ78" s="10">
        <v>1</v>
      </c>
      <c r="AK78" s="10">
        <v>1</v>
      </c>
      <c r="AL78" s="10">
        <v>1</v>
      </c>
      <c r="AM78" s="10">
        <v>1</v>
      </c>
      <c r="AN78" s="10">
        <v>1</v>
      </c>
      <c r="AO78" s="10">
        <v>1</v>
      </c>
      <c r="AP78" s="10">
        <v>1</v>
      </c>
      <c r="AQ78" s="10">
        <v>1</v>
      </c>
      <c r="AR78" s="10">
        <v>1</v>
      </c>
      <c r="AS78" s="10">
        <v>1</v>
      </c>
      <c r="AT78" s="23">
        <v>1</v>
      </c>
    </row>
    <row r="79" spans="1:46" x14ac:dyDescent="0.45">
      <c r="A79" s="22">
        <v>75</v>
      </c>
      <c r="B79" s="11" t="s">
        <v>433</v>
      </c>
      <c r="C79" s="62">
        <v>2589210</v>
      </c>
      <c r="D79" s="63"/>
      <c r="E79" s="63"/>
      <c r="F79" s="63"/>
      <c r="G79" s="63"/>
      <c r="H79" s="63"/>
      <c r="I79" s="64"/>
      <c r="J79" s="10" t="s">
        <v>46</v>
      </c>
      <c r="K79" s="10" t="s">
        <v>273</v>
      </c>
      <c r="L79" s="10">
        <v>0</v>
      </c>
      <c r="M79" s="10">
        <v>697.7</v>
      </c>
      <c r="N79" s="10" t="s">
        <v>274</v>
      </c>
      <c r="O79" s="10" t="s">
        <v>275</v>
      </c>
      <c r="P79" s="18">
        <f t="shared" si="5"/>
        <v>23</v>
      </c>
      <c r="Q79" s="22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8">
        <v>0</v>
      </c>
      <c r="X79" s="22">
        <v>1</v>
      </c>
      <c r="Y79" s="10">
        <v>1</v>
      </c>
      <c r="Z79" s="10">
        <v>1</v>
      </c>
      <c r="AA79" s="10">
        <v>1</v>
      </c>
      <c r="AB79" s="10">
        <v>1</v>
      </c>
      <c r="AC79" s="10">
        <v>1</v>
      </c>
      <c r="AD79" s="10">
        <v>1</v>
      </c>
      <c r="AE79" s="10">
        <v>1</v>
      </c>
      <c r="AF79" s="10">
        <v>1</v>
      </c>
      <c r="AG79" s="10">
        <v>1</v>
      </c>
      <c r="AH79" s="23">
        <v>1</v>
      </c>
      <c r="AI79" s="13">
        <v>1</v>
      </c>
      <c r="AJ79" s="10">
        <v>1</v>
      </c>
      <c r="AK79" s="10">
        <v>1</v>
      </c>
      <c r="AL79" s="10">
        <v>1</v>
      </c>
      <c r="AM79" s="10">
        <v>1</v>
      </c>
      <c r="AN79" s="10">
        <v>1</v>
      </c>
      <c r="AO79" s="10">
        <v>1</v>
      </c>
      <c r="AP79" s="10">
        <v>1</v>
      </c>
      <c r="AQ79" s="10">
        <v>1</v>
      </c>
      <c r="AR79" s="10">
        <v>1</v>
      </c>
      <c r="AS79" s="10">
        <v>1</v>
      </c>
      <c r="AT79" s="23">
        <v>1</v>
      </c>
    </row>
    <row r="80" spans="1:46" x14ac:dyDescent="0.45">
      <c r="A80" s="22">
        <v>76</v>
      </c>
      <c r="B80" s="11" t="s">
        <v>433</v>
      </c>
      <c r="C80" s="62">
        <v>2589220</v>
      </c>
      <c r="D80" s="63"/>
      <c r="E80" s="63"/>
      <c r="F80" s="63"/>
      <c r="G80" s="63"/>
      <c r="H80" s="63"/>
      <c r="I80" s="64"/>
      <c r="J80" s="10" t="s">
        <v>47</v>
      </c>
      <c r="K80" s="10" t="s">
        <v>276</v>
      </c>
      <c r="L80" s="10">
        <v>0</v>
      </c>
      <c r="M80" s="10">
        <v>637</v>
      </c>
      <c r="N80" s="10" t="s">
        <v>277</v>
      </c>
      <c r="O80" s="10" t="s">
        <v>278</v>
      </c>
      <c r="P80" s="18">
        <f t="shared" si="5"/>
        <v>23</v>
      </c>
      <c r="Q80" s="22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8">
        <v>0</v>
      </c>
      <c r="X80" s="22">
        <v>1</v>
      </c>
      <c r="Y80" s="10">
        <v>1</v>
      </c>
      <c r="Z80" s="10">
        <v>1</v>
      </c>
      <c r="AA80" s="10">
        <v>1</v>
      </c>
      <c r="AB80" s="10">
        <v>1</v>
      </c>
      <c r="AC80" s="10">
        <v>1</v>
      </c>
      <c r="AD80" s="10">
        <v>1</v>
      </c>
      <c r="AE80" s="10">
        <v>1</v>
      </c>
      <c r="AF80" s="10">
        <v>1</v>
      </c>
      <c r="AG80" s="10">
        <v>1</v>
      </c>
      <c r="AH80" s="23">
        <v>1</v>
      </c>
      <c r="AI80" s="13">
        <v>1</v>
      </c>
      <c r="AJ80" s="10">
        <v>1</v>
      </c>
      <c r="AK80" s="10">
        <v>1</v>
      </c>
      <c r="AL80" s="10">
        <v>1</v>
      </c>
      <c r="AM80" s="10">
        <v>1</v>
      </c>
      <c r="AN80" s="10">
        <v>1</v>
      </c>
      <c r="AO80" s="10">
        <v>1</v>
      </c>
      <c r="AP80" s="10">
        <v>1</v>
      </c>
      <c r="AQ80" s="10">
        <v>1</v>
      </c>
      <c r="AR80" s="10">
        <v>1</v>
      </c>
      <c r="AS80" s="10">
        <v>1</v>
      </c>
      <c r="AT80" s="23">
        <v>1</v>
      </c>
    </row>
    <row r="81" spans="1:46" x14ac:dyDescent="0.45">
      <c r="A81" s="22">
        <v>77</v>
      </c>
      <c r="B81" s="11" t="s">
        <v>433</v>
      </c>
      <c r="C81" s="62">
        <v>2589230</v>
      </c>
      <c r="D81" s="63"/>
      <c r="E81" s="63"/>
      <c r="F81" s="63"/>
      <c r="G81" s="63"/>
      <c r="H81" s="63"/>
      <c r="I81" s="64"/>
      <c r="J81" s="10" t="s">
        <v>48</v>
      </c>
      <c r="K81" s="10" t="s">
        <v>279</v>
      </c>
      <c r="L81" s="10">
        <v>0</v>
      </c>
      <c r="M81" s="10">
        <v>1120</v>
      </c>
      <c r="N81" s="10" t="s">
        <v>280</v>
      </c>
      <c r="O81" s="10" t="s">
        <v>281</v>
      </c>
      <c r="P81" s="18">
        <f t="shared" si="5"/>
        <v>23</v>
      </c>
      <c r="Q81" s="22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8">
        <v>0</v>
      </c>
      <c r="X81" s="22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  <c r="AF81" s="10">
        <v>1</v>
      </c>
      <c r="AG81" s="10">
        <v>1</v>
      </c>
      <c r="AH81" s="23">
        <v>1</v>
      </c>
      <c r="AI81" s="13">
        <v>1</v>
      </c>
      <c r="AJ81" s="10">
        <v>1</v>
      </c>
      <c r="AK81" s="10">
        <v>1</v>
      </c>
      <c r="AL81" s="10">
        <v>1</v>
      </c>
      <c r="AM81" s="10">
        <v>1</v>
      </c>
      <c r="AN81" s="10">
        <v>1</v>
      </c>
      <c r="AO81" s="10">
        <v>1</v>
      </c>
      <c r="AP81" s="10">
        <v>1</v>
      </c>
      <c r="AQ81" s="10">
        <v>1</v>
      </c>
      <c r="AR81" s="10">
        <v>1</v>
      </c>
      <c r="AS81" s="10">
        <v>1</v>
      </c>
      <c r="AT81" s="23">
        <v>1</v>
      </c>
    </row>
    <row r="82" spans="1:46" x14ac:dyDescent="0.45">
      <c r="A82" s="22">
        <v>78</v>
      </c>
      <c r="B82" s="11" t="s">
        <v>433</v>
      </c>
      <c r="C82" s="62">
        <v>2589240</v>
      </c>
      <c r="D82" s="63"/>
      <c r="E82" s="63"/>
      <c r="F82" s="63"/>
      <c r="G82" s="63"/>
      <c r="H82" s="63"/>
      <c r="I82" s="64"/>
      <c r="J82" s="10" t="s">
        <v>23</v>
      </c>
      <c r="K82" s="10" t="s">
        <v>169</v>
      </c>
      <c r="L82" s="10">
        <v>0</v>
      </c>
      <c r="M82" s="10">
        <v>1127</v>
      </c>
      <c r="N82" s="10" t="s">
        <v>282</v>
      </c>
      <c r="O82" s="10" t="s">
        <v>283</v>
      </c>
      <c r="P82" s="18">
        <f t="shared" si="5"/>
        <v>23</v>
      </c>
      <c r="Q82" s="22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8">
        <v>0</v>
      </c>
      <c r="X82" s="22">
        <v>1</v>
      </c>
      <c r="Y82" s="10">
        <v>1</v>
      </c>
      <c r="Z82" s="10">
        <v>1</v>
      </c>
      <c r="AA82" s="10">
        <v>1</v>
      </c>
      <c r="AB82" s="10">
        <v>1</v>
      </c>
      <c r="AC82" s="10">
        <v>1</v>
      </c>
      <c r="AD82" s="10">
        <v>1</v>
      </c>
      <c r="AE82" s="10">
        <v>1</v>
      </c>
      <c r="AF82" s="10">
        <v>1</v>
      </c>
      <c r="AG82" s="10">
        <v>1</v>
      </c>
      <c r="AH82" s="23">
        <v>1</v>
      </c>
      <c r="AI82" s="13">
        <v>1</v>
      </c>
      <c r="AJ82" s="10">
        <v>1</v>
      </c>
      <c r="AK82" s="10">
        <v>1</v>
      </c>
      <c r="AL82" s="10">
        <v>1</v>
      </c>
      <c r="AM82" s="10">
        <v>1</v>
      </c>
      <c r="AN82" s="10">
        <v>1</v>
      </c>
      <c r="AO82" s="10">
        <v>1</v>
      </c>
      <c r="AP82" s="10">
        <v>1</v>
      </c>
      <c r="AQ82" s="10">
        <v>1</v>
      </c>
      <c r="AR82" s="10">
        <v>1</v>
      </c>
      <c r="AS82" s="10">
        <v>1</v>
      </c>
      <c r="AT82" s="23">
        <v>1</v>
      </c>
    </row>
    <row r="83" spans="1:46" x14ac:dyDescent="0.45">
      <c r="A83" s="22">
        <v>79</v>
      </c>
      <c r="B83" s="11" t="s">
        <v>433</v>
      </c>
      <c r="C83" s="62">
        <v>2589250</v>
      </c>
      <c r="D83" s="63"/>
      <c r="E83" s="63"/>
      <c r="F83" s="63"/>
      <c r="G83" s="63"/>
      <c r="H83" s="63"/>
      <c r="I83" s="64"/>
      <c r="J83" s="10" t="s">
        <v>49</v>
      </c>
      <c r="K83" s="10" t="s">
        <v>284</v>
      </c>
      <c r="L83" s="10">
        <v>0</v>
      </c>
      <c r="M83" s="10">
        <v>703</v>
      </c>
      <c r="N83" s="10" t="s">
        <v>285</v>
      </c>
      <c r="O83" s="10" t="s">
        <v>286</v>
      </c>
      <c r="P83" s="18">
        <f t="shared" si="5"/>
        <v>23</v>
      </c>
      <c r="Q83" s="22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8">
        <v>0</v>
      </c>
      <c r="X83" s="22">
        <v>1</v>
      </c>
      <c r="Y83" s="10">
        <v>1</v>
      </c>
      <c r="Z83" s="10">
        <v>1</v>
      </c>
      <c r="AA83" s="10">
        <v>1</v>
      </c>
      <c r="AB83" s="10">
        <v>1</v>
      </c>
      <c r="AC83" s="10">
        <v>1</v>
      </c>
      <c r="AD83" s="10">
        <v>1</v>
      </c>
      <c r="AE83" s="10">
        <v>1</v>
      </c>
      <c r="AF83" s="10">
        <v>1</v>
      </c>
      <c r="AG83" s="10">
        <v>1</v>
      </c>
      <c r="AH83" s="23">
        <v>1</v>
      </c>
      <c r="AI83" s="13">
        <v>1</v>
      </c>
      <c r="AJ83" s="10">
        <v>1</v>
      </c>
      <c r="AK83" s="10">
        <v>1</v>
      </c>
      <c r="AL83" s="10">
        <v>1</v>
      </c>
      <c r="AM83" s="10">
        <v>1</v>
      </c>
      <c r="AN83" s="10">
        <v>1</v>
      </c>
      <c r="AO83" s="10">
        <v>1</v>
      </c>
      <c r="AP83" s="10">
        <v>1</v>
      </c>
      <c r="AQ83" s="10">
        <v>1</v>
      </c>
      <c r="AR83" s="10">
        <v>1</v>
      </c>
      <c r="AS83" s="10">
        <v>1</v>
      </c>
      <c r="AT83" s="23">
        <v>1</v>
      </c>
    </row>
    <row r="84" spans="1:46" x14ac:dyDescent="0.45">
      <c r="A84" s="22">
        <v>80</v>
      </c>
      <c r="B84" s="11" t="s">
        <v>433</v>
      </c>
      <c r="C84" s="62">
        <v>2589300</v>
      </c>
      <c r="D84" s="63"/>
      <c r="E84" s="63"/>
      <c r="F84" s="63"/>
      <c r="G84" s="63"/>
      <c r="H84" s="63"/>
      <c r="I84" s="64"/>
      <c r="J84" s="10" t="s">
        <v>50</v>
      </c>
      <c r="K84" s="10" t="s">
        <v>287</v>
      </c>
      <c r="L84" s="10">
        <v>0</v>
      </c>
      <c r="M84" s="10">
        <v>817.1</v>
      </c>
      <c r="N84" s="10" t="s">
        <v>288</v>
      </c>
      <c r="O84" s="10" t="s">
        <v>289</v>
      </c>
      <c r="P84" s="18">
        <f t="shared" si="5"/>
        <v>23</v>
      </c>
      <c r="Q84" s="22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8">
        <v>0</v>
      </c>
      <c r="X84" s="22">
        <v>1</v>
      </c>
      <c r="Y84" s="10">
        <v>1</v>
      </c>
      <c r="Z84" s="10">
        <v>1</v>
      </c>
      <c r="AA84" s="10">
        <v>1</v>
      </c>
      <c r="AB84" s="10">
        <v>1</v>
      </c>
      <c r="AC84" s="10">
        <v>1</v>
      </c>
      <c r="AD84" s="10">
        <v>1</v>
      </c>
      <c r="AE84" s="10">
        <v>1</v>
      </c>
      <c r="AF84" s="10">
        <v>1</v>
      </c>
      <c r="AG84" s="10">
        <v>1</v>
      </c>
      <c r="AH84" s="23">
        <v>1</v>
      </c>
      <c r="AI84" s="13">
        <v>1</v>
      </c>
      <c r="AJ84" s="10">
        <v>1</v>
      </c>
      <c r="AK84" s="10">
        <v>1</v>
      </c>
      <c r="AL84" s="10">
        <v>1</v>
      </c>
      <c r="AM84" s="10">
        <v>1</v>
      </c>
      <c r="AN84" s="10">
        <v>1</v>
      </c>
      <c r="AO84" s="10">
        <v>1</v>
      </c>
      <c r="AP84" s="10">
        <v>1</v>
      </c>
      <c r="AQ84" s="10">
        <v>1</v>
      </c>
      <c r="AR84" s="10">
        <v>1</v>
      </c>
      <c r="AS84" s="10">
        <v>1</v>
      </c>
      <c r="AT84" s="23">
        <v>1</v>
      </c>
    </row>
    <row r="85" spans="1:46" x14ac:dyDescent="0.45">
      <c r="A85" s="22">
        <v>81</v>
      </c>
      <c r="B85" s="11" t="s">
        <v>433</v>
      </c>
      <c r="C85" s="59">
        <v>2589320</v>
      </c>
      <c r="D85" s="67"/>
      <c r="E85" s="67"/>
      <c r="F85" s="67"/>
      <c r="G85" s="67"/>
      <c r="H85" s="67"/>
      <c r="I85" s="68"/>
      <c r="J85" s="10" t="s">
        <v>51</v>
      </c>
      <c r="K85" s="10" t="s">
        <v>290</v>
      </c>
      <c r="L85" s="10">
        <v>0</v>
      </c>
      <c r="M85" s="10">
        <v>1586.6</v>
      </c>
      <c r="N85" s="10" t="s">
        <v>291</v>
      </c>
      <c r="O85" s="10" t="s">
        <v>292</v>
      </c>
      <c r="P85" s="18">
        <f t="shared" si="5"/>
        <v>23</v>
      </c>
      <c r="Q85" s="22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8">
        <v>0</v>
      </c>
      <c r="X85" s="22">
        <v>1</v>
      </c>
      <c r="Y85" s="10">
        <v>1</v>
      </c>
      <c r="Z85" s="10">
        <v>1</v>
      </c>
      <c r="AA85" s="10">
        <v>1</v>
      </c>
      <c r="AB85" s="10">
        <v>1</v>
      </c>
      <c r="AC85" s="10">
        <v>1</v>
      </c>
      <c r="AD85" s="10">
        <v>1</v>
      </c>
      <c r="AE85" s="10">
        <v>1</v>
      </c>
      <c r="AF85" s="10">
        <v>1</v>
      </c>
      <c r="AG85" s="10">
        <v>1</v>
      </c>
      <c r="AH85" s="23">
        <v>1</v>
      </c>
      <c r="AI85" s="13">
        <v>1</v>
      </c>
      <c r="AJ85" s="10">
        <v>1</v>
      </c>
      <c r="AK85" s="10">
        <v>1</v>
      </c>
      <c r="AL85" s="10">
        <v>1</v>
      </c>
      <c r="AM85" s="10">
        <v>1</v>
      </c>
      <c r="AN85" s="10">
        <v>1</v>
      </c>
      <c r="AO85" s="10">
        <v>1</v>
      </c>
      <c r="AP85" s="10">
        <v>1</v>
      </c>
      <c r="AQ85" s="10">
        <v>1</v>
      </c>
      <c r="AR85" s="10">
        <v>1</v>
      </c>
      <c r="AS85" s="10">
        <v>1</v>
      </c>
      <c r="AT85" s="23">
        <v>1</v>
      </c>
    </row>
    <row r="86" spans="1:46" x14ac:dyDescent="0.45">
      <c r="A86" s="22">
        <v>82</v>
      </c>
      <c r="B86" s="11" t="s">
        <v>433</v>
      </c>
      <c r="C86" s="12"/>
      <c r="D86" s="67">
        <v>2589350</v>
      </c>
      <c r="E86" s="67"/>
      <c r="F86" s="67"/>
      <c r="G86" s="67"/>
      <c r="H86" s="67"/>
      <c r="I86" s="68"/>
      <c r="J86" s="13" t="s">
        <v>52</v>
      </c>
      <c r="K86" s="10" t="s">
        <v>293</v>
      </c>
      <c r="L86" s="10">
        <v>0</v>
      </c>
      <c r="M86" s="10">
        <v>1558</v>
      </c>
      <c r="N86" s="10" t="s">
        <v>294</v>
      </c>
      <c r="O86" s="10" t="s">
        <v>295</v>
      </c>
      <c r="P86" s="18">
        <f t="shared" si="5"/>
        <v>21</v>
      </c>
      <c r="Q86" s="22">
        <v>1</v>
      </c>
      <c r="R86" s="10">
        <v>1</v>
      </c>
      <c r="S86" s="10">
        <v>1</v>
      </c>
      <c r="T86" s="10">
        <v>1</v>
      </c>
      <c r="U86" s="10">
        <v>1</v>
      </c>
      <c r="V86" s="10">
        <v>1</v>
      </c>
      <c r="W86" s="18">
        <v>1</v>
      </c>
      <c r="X86" s="22">
        <v>1</v>
      </c>
      <c r="Y86" s="10">
        <v>1</v>
      </c>
      <c r="Z86" s="10">
        <v>1</v>
      </c>
      <c r="AA86" s="10">
        <v>1</v>
      </c>
      <c r="AB86" s="10">
        <v>1</v>
      </c>
      <c r="AC86" s="10">
        <v>1</v>
      </c>
      <c r="AD86" s="10">
        <v>1</v>
      </c>
      <c r="AE86" s="10">
        <v>1</v>
      </c>
      <c r="AF86" s="10">
        <v>1</v>
      </c>
      <c r="AG86" s="10">
        <v>1</v>
      </c>
      <c r="AH86" s="23">
        <v>1</v>
      </c>
      <c r="AI86" s="13">
        <v>1</v>
      </c>
      <c r="AJ86" s="10">
        <v>1</v>
      </c>
      <c r="AK86" s="10">
        <v>1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23">
        <v>0</v>
      </c>
    </row>
    <row r="87" spans="1:46" x14ac:dyDescent="0.45">
      <c r="A87" s="21">
        <v>83</v>
      </c>
      <c r="B87" s="7">
        <v>53</v>
      </c>
      <c r="C87" s="2"/>
      <c r="D87" s="44">
        <v>2589351</v>
      </c>
      <c r="E87" s="45"/>
      <c r="F87" s="45"/>
      <c r="G87" s="45"/>
      <c r="H87" s="45"/>
      <c r="I87" s="46"/>
      <c r="J87" s="3" t="s">
        <v>52</v>
      </c>
      <c r="K87" s="1" t="s">
        <v>293</v>
      </c>
      <c r="L87" s="1">
        <v>2589350</v>
      </c>
      <c r="M87" s="1">
        <v>1048.9000000000001</v>
      </c>
      <c r="N87" s="1" t="s">
        <v>296</v>
      </c>
      <c r="O87" s="1" t="s">
        <v>297</v>
      </c>
      <c r="P87" s="16">
        <f t="shared" si="5"/>
        <v>28</v>
      </c>
      <c r="Q87" s="2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6">
        <v>1</v>
      </c>
      <c r="X87" s="2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20">
        <v>1</v>
      </c>
      <c r="AI87" s="3">
        <v>1</v>
      </c>
      <c r="AJ87" s="1">
        <v>1</v>
      </c>
      <c r="AK87" s="1">
        <v>1</v>
      </c>
      <c r="AL87" s="1">
        <v>0</v>
      </c>
      <c r="AM87" s="1">
        <v>0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>
        <v>1</v>
      </c>
      <c r="AT87" s="20">
        <v>1</v>
      </c>
    </row>
    <row r="88" spans="1:46" x14ac:dyDescent="0.45">
      <c r="A88" s="21">
        <v>84</v>
      </c>
      <c r="B88" s="7">
        <v>54</v>
      </c>
      <c r="C88" s="44">
        <v>2589360</v>
      </c>
      <c r="D88" s="45"/>
      <c r="E88" s="45"/>
      <c r="F88" s="45"/>
      <c r="G88" s="45"/>
      <c r="H88" s="45"/>
      <c r="I88" s="46"/>
      <c r="J88" s="1" t="s">
        <v>53</v>
      </c>
      <c r="K88" s="1" t="s">
        <v>298</v>
      </c>
      <c r="L88" s="1">
        <v>0</v>
      </c>
      <c r="M88" s="1">
        <v>962</v>
      </c>
      <c r="N88" s="1" t="s">
        <v>299</v>
      </c>
      <c r="O88" s="1" t="s">
        <v>300</v>
      </c>
      <c r="P88" s="16">
        <f t="shared" si="5"/>
        <v>30</v>
      </c>
      <c r="Q88" s="2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6">
        <v>1</v>
      </c>
      <c r="X88" s="2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20">
        <v>1</v>
      </c>
      <c r="AI88" s="3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20">
        <v>1</v>
      </c>
    </row>
    <row r="89" spans="1:46" x14ac:dyDescent="0.45">
      <c r="A89" s="22">
        <v>85</v>
      </c>
      <c r="B89" s="11" t="s">
        <v>433</v>
      </c>
      <c r="C89" s="62">
        <v>2589370</v>
      </c>
      <c r="D89" s="63"/>
      <c r="E89" s="63"/>
      <c r="F89" s="63"/>
      <c r="G89" s="63"/>
      <c r="H89" s="63"/>
      <c r="I89" s="64"/>
      <c r="J89" s="10" t="s">
        <v>54</v>
      </c>
      <c r="K89" s="10" t="s">
        <v>301</v>
      </c>
      <c r="L89" s="10">
        <v>0</v>
      </c>
      <c r="M89" s="10">
        <v>1656</v>
      </c>
      <c r="N89" s="10" t="s">
        <v>302</v>
      </c>
      <c r="O89" s="10" t="s">
        <v>303</v>
      </c>
      <c r="P89" s="18">
        <f t="shared" si="5"/>
        <v>22</v>
      </c>
      <c r="Q89" s="22">
        <v>0</v>
      </c>
      <c r="R89" s="10">
        <v>0</v>
      </c>
      <c r="S89" s="10">
        <v>0</v>
      </c>
      <c r="T89" s="10">
        <v>1</v>
      </c>
      <c r="U89" s="10">
        <v>1</v>
      </c>
      <c r="V89" s="10">
        <v>1</v>
      </c>
      <c r="W89" s="18">
        <v>1</v>
      </c>
      <c r="X89" s="22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23">
        <v>1</v>
      </c>
      <c r="AI89" s="13">
        <v>1</v>
      </c>
      <c r="AJ89" s="10">
        <v>0</v>
      </c>
      <c r="AK89" s="10">
        <v>0</v>
      </c>
      <c r="AL89" s="10">
        <v>0</v>
      </c>
      <c r="AM89" s="10">
        <v>0</v>
      </c>
      <c r="AN89" s="10">
        <v>1</v>
      </c>
      <c r="AO89" s="10">
        <v>1</v>
      </c>
      <c r="AP89" s="10">
        <v>1</v>
      </c>
      <c r="AQ89" s="10">
        <v>0</v>
      </c>
      <c r="AR89" s="10">
        <v>1</v>
      </c>
      <c r="AS89" s="10">
        <v>1</v>
      </c>
      <c r="AT89" s="23">
        <v>1</v>
      </c>
    </row>
    <row r="90" spans="1:46" x14ac:dyDescent="0.45">
      <c r="A90" s="22">
        <v>86</v>
      </c>
      <c r="B90" s="11" t="s">
        <v>433</v>
      </c>
      <c r="C90" s="62">
        <v>2589380</v>
      </c>
      <c r="D90" s="63"/>
      <c r="E90" s="63"/>
      <c r="F90" s="63"/>
      <c r="G90" s="63"/>
      <c r="H90" s="63"/>
      <c r="I90" s="64"/>
      <c r="J90" s="10" t="s">
        <v>55</v>
      </c>
      <c r="K90" s="10" t="s">
        <v>304</v>
      </c>
      <c r="L90" s="10">
        <v>0</v>
      </c>
      <c r="M90" s="10">
        <v>795.5</v>
      </c>
      <c r="N90" s="10" t="s">
        <v>305</v>
      </c>
      <c r="O90" s="10" t="s">
        <v>306</v>
      </c>
      <c r="P90" s="18">
        <f t="shared" si="5"/>
        <v>22</v>
      </c>
      <c r="Q90" s="22">
        <v>0</v>
      </c>
      <c r="R90" s="10">
        <v>0</v>
      </c>
      <c r="S90" s="10">
        <v>0</v>
      </c>
      <c r="T90" s="10">
        <v>1</v>
      </c>
      <c r="U90" s="10">
        <v>1</v>
      </c>
      <c r="V90" s="10">
        <v>1</v>
      </c>
      <c r="W90" s="18">
        <v>1</v>
      </c>
      <c r="X90" s="22">
        <v>1</v>
      </c>
      <c r="Y90" s="10">
        <v>1</v>
      </c>
      <c r="Z90" s="10">
        <v>1</v>
      </c>
      <c r="AA90" s="10">
        <v>1</v>
      </c>
      <c r="AB90" s="10">
        <v>1</v>
      </c>
      <c r="AC90" s="10">
        <v>1</v>
      </c>
      <c r="AD90" s="10">
        <v>1</v>
      </c>
      <c r="AE90" s="10">
        <v>1</v>
      </c>
      <c r="AF90" s="10">
        <v>1</v>
      </c>
      <c r="AG90" s="10">
        <v>1</v>
      </c>
      <c r="AH90" s="23">
        <v>1</v>
      </c>
      <c r="AI90" s="13">
        <v>1</v>
      </c>
      <c r="AJ90" s="10">
        <v>0</v>
      </c>
      <c r="AK90" s="10">
        <v>0</v>
      </c>
      <c r="AL90" s="10">
        <v>0</v>
      </c>
      <c r="AM90" s="10">
        <v>0</v>
      </c>
      <c r="AN90" s="10">
        <v>1</v>
      </c>
      <c r="AO90" s="10">
        <v>1</v>
      </c>
      <c r="AP90" s="10">
        <v>1</v>
      </c>
      <c r="AQ90" s="10">
        <v>0</v>
      </c>
      <c r="AR90" s="10">
        <v>1</v>
      </c>
      <c r="AS90" s="10">
        <v>1</v>
      </c>
      <c r="AT90" s="23">
        <v>1</v>
      </c>
    </row>
    <row r="91" spans="1:46" x14ac:dyDescent="0.45">
      <c r="A91" s="21">
        <v>87</v>
      </c>
      <c r="B91" s="7">
        <v>55</v>
      </c>
      <c r="C91" s="44">
        <v>2589390</v>
      </c>
      <c r="D91" s="45"/>
      <c r="E91" s="45"/>
      <c r="F91" s="45"/>
      <c r="G91" s="45"/>
      <c r="H91" s="45"/>
      <c r="I91" s="46"/>
      <c r="J91" s="1" t="s">
        <v>56</v>
      </c>
      <c r="K91" s="1" t="s">
        <v>307</v>
      </c>
      <c r="L91" s="1">
        <v>0</v>
      </c>
      <c r="M91" s="1">
        <v>1239.5999999999999</v>
      </c>
      <c r="N91" s="1" t="s">
        <v>308</v>
      </c>
      <c r="O91" s="1" t="s">
        <v>309</v>
      </c>
      <c r="P91" s="16">
        <f t="shared" si="5"/>
        <v>25</v>
      </c>
      <c r="Q91" s="21">
        <v>0</v>
      </c>
      <c r="R91" s="1">
        <v>0</v>
      </c>
      <c r="S91" s="1">
        <v>0</v>
      </c>
      <c r="T91" s="1">
        <v>1</v>
      </c>
      <c r="U91" s="1">
        <v>1</v>
      </c>
      <c r="V91" s="1">
        <v>1</v>
      </c>
      <c r="W91" s="16">
        <v>1</v>
      </c>
      <c r="X91" s="2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20">
        <v>1</v>
      </c>
      <c r="AI91" s="3">
        <v>1</v>
      </c>
      <c r="AJ91" s="1">
        <v>1</v>
      </c>
      <c r="AK91" s="1">
        <v>1</v>
      </c>
      <c r="AL91" s="1">
        <v>0</v>
      </c>
      <c r="AM91" s="1">
        <v>0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20">
        <v>1</v>
      </c>
    </row>
    <row r="92" spans="1:46" x14ac:dyDescent="0.45">
      <c r="A92" s="22">
        <v>88</v>
      </c>
      <c r="B92" s="11" t="s">
        <v>433</v>
      </c>
      <c r="C92" s="62">
        <v>2589400</v>
      </c>
      <c r="D92" s="63"/>
      <c r="E92" s="63"/>
      <c r="F92" s="63"/>
      <c r="G92" s="63"/>
      <c r="H92" s="63"/>
      <c r="I92" s="64"/>
      <c r="J92" s="10" t="s">
        <v>57</v>
      </c>
      <c r="K92" s="10" t="s">
        <v>310</v>
      </c>
      <c r="L92" s="10">
        <v>0</v>
      </c>
      <c r="M92" s="10">
        <v>2688</v>
      </c>
      <c r="N92" s="10" t="s">
        <v>311</v>
      </c>
      <c r="O92" s="10" t="s">
        <v>312</v>
      </c>
      <c r="P92" s="18">
        <f t="shared" si="5"/>
        <v>24</v>
      </c>
      <c r="Q92" s="22">
        <v>1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8">
        <v>0</v>
      </c>
      <c r="X92" s="22">
        <v>1</v>
      </c>
      <c r="Y92" s="10">
        <v>1</v>
      </c>
      <c r="Z92" s="10">
        <v>1</v>
      </c>
      <c r="AA92" s="10">
        <v>1</v>
      </c>
      <c r="AB92" s="10">
        <v>1</v>
      </c>
      <c r="AC92" s="10">
        <v>1</v>
      </c>
      <c r="AD92" s="10">
        <v>1</v>
      </c>
      <c r="AE92" s="10">
        <v>1</v>
      </c>
      <c r="AF92" s="10">
        <v>1</v>
      </c>
      <c r="AG92" s="10">
        <v>1</v>
      </c>
      <c r="AH92" s="23">
        <v>1</v>
      </c>
      <c r="AI92" s="13">
        <v>1</v>
      </c>
      <c r="AJ92" s="10">
        <v>1</v>
      </c>
      <c r="AK92" s="10">
        <v>1</v>
      </c>
      <c r="AL92" s="10">
        <v>1</v>
      </c>
      <c r="AM92" s="10">
        <v>1</v>
      </c>
      <c r="AN92" s="10">
        <v>1</v>
      </c>
      <c r="AO92" s="10">
        <v>1</v>
      </c>
      <c r="AP92" s="10">
        <v>1</v>
      </c>
      <c r="AQ92" s="10">
        <v>1</v>
      </c>
      <c r="AR92" s="10">
        <v>1</v>
      </c>
      <c r="AS92" s="10">
        <v>1</v>
      </c>
      <c r="AT92" s="23">
        <v>1</v>
      </c>
    </row>
    <row r="93" spans="1:46" x14ac:dyDescent="0.45">
      <c r="A93" s="21">
        <v>89</v>
      </c>
      <c r="B93" s="7">
        <v>56</v>
      </c>
      <c r="C93" s="44">
        <v>2589410</v>
      </c>
      <c r="D93" s="45"/>
      <c r="E93" s="45"/>
      <c r="F93" s="45"/>
      <c r="G93" s="45"/>
      <c r="H93" s="45"/>
      <c r="I93" s="46"/>
      <c r="J93" s="1" t="s">
        <v>58</v>
      </c>
      <c r="K93" s="1" t="s">
        <v>313</v>
      </c>
      <c r="L93" s="1">
        <v>0</v>
      </c>
      <c r="M93" s="1">
        <v>1344.3</v>
      </c>
      <c r="N93" s="1" t="s">
        <v>314</v>
      </c>
      <c r="O93" s="1" t="s">
        <v>315</v>
      </c>
      <c r="P93" s="16">
        <f t="shared" si="5"/>
        <v>29</v>
      </c>
      <c r="Q93" s="2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6">
        <v>1</v>
      </c>
      <c r="X93" s="2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20">
        <v>1</v>
      </c>
      <c r="AI93" s="3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0</v>
      </c>
      <c r="AT93" s="20">
        <v>1</v>
      </c>
    </row>
    <row r="94" spans="1:46" x14ac:dyDescent="0.45">
      <c r="A94" s="21">
        <v>90</v>
      </c>
      <c r="B94" s="7">
        <v>57</v>
      </c>
      <c r="C94" s="48">
        <v>2589420</v>
      </c>
      <c r="D94" s="52"/>
      <c r="E94" s="52"/>
      <c r="F94" s="52"/>
      <c r="G94" s="52"/>
      <c r="H94" s="52"/>
      <c r="I94" s="58"/>
      <c r="J94" s="1" t="s">
        <v>59</v>
      </c>
      <c r="K94" s="1" t="s">
        <v>316</v>
      </c>
      <c r="L94" s="1">
        <v>0</v>
      </c>
      <c r="M94" s="1">
        <v>837</v>
      </c>
      <c r="N94" s="1" t="s">
        <v>317</v>
      </c>
      <c r="O94" s="1" t="s">
        <v>318</v>
      </c>
      <c r="P94" s="16">
        <f t="shared" si="5"/>
        <v>28</v>
      </c>
      <c r="Q94" s="2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6">
        <v>1</v>
      </c>
      <c r="X94" s="2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20">
        <v>1</v>
      </c>
      <c r="AI94" s="3">
        <v>1</v>
      </c>
      <c r="AJ94" s="1">
        <v>1</v>
      </c>
      <c r="AK94" s="1">
        <v>1</v>
      </c>
      <c r="AL94" s="1">
        <v>0</v>
      </c>
      <c r="AM94" s="1">
        <v>0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20">
        <v>1</v>
      </c>
    </row>
    <row r="95" spans="1:46" x14ac:dyDescent="0.45">
      <c r="A95" s="21">
        <v>91</v>
      </c>
      <c r="B95" s="7">
        <v>58</v>
      </c>
      <c r="C95" s="8"/>
      <c r="D95" s="52">
        <v>2589500</v>
      </c>
      <c r="E95" s="52"/>
      <c r="F95" s="52"/>
      <c r="G95" s="52"/>
      <c r="H95" s="52"/>
      <c r="I95" s="58"/>
      <c r="J95" s="3" t="s">
        <v>60</v>
      </c>
      <c r="K95" s="1" t="s">
        <v>319</v>
      </c>
      <c r="L95" s="1">
        <v>0</v>
      </c>
      <c r="M95" s="1">
        <v>9719</v>
      </c>
      <c r="N95" s="1" t="s">
        <v>320</v>
      </c>
      <c r="O95" s="1" t="s">
        <v>321</v>
      </c>
      <c r="P95" s="16">
        <f t="shared" si="5"/>
        <v>30</v>
      </c>
      <c r="Q95" s="2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6">
        <v>1</v>
      </c>
      <c r="X95" s="2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20">
        <v>1</v>
      </c>
      <c r="AI95" s="3">
        <v>1</v>
      </c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20">
        <v>1</v>
      </c>
    </row>
    <row r="96" spans="1:46" x14ac:dyDescent="0.45">
      <c r="A96" s="21">
        <v>92</v>
      </c>
      <c r="B96" s="7">
        <v>59</v>
      </c>
      <c r="C96" s="9"/>
      <c r="D96" s="8"/>
      <c r="E96" s="52">
        <v>2589501</v>
      </c>
      <c r="F96" s="52"/>
      <c r="G96" s="52"/>
      <c r="H96" s="52"/>
      <c r="I96" s="58"/>
      <c r="J96" s="3" t="s">
        <v>60</v>
      </c>
      <c r="K96" s="1" t="s">
        <v>319</v>
      </c>
      <c r="L96" s="1">
        <v>2589500</v>
      </c>
      <c r="M96" s="1">
        <v>8126</v>
      </c>
      <c r="N96" s="1" t="s">
        <v>322</v>
      </c>
      <c r="O96" s="1" t="s">
        <v>323</v>
      </c>
      <c r="P96" s="16">
        <f t="shared" si="5"/>
        <v>30</v>
      </c>
      <c r="Q96" s="2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6">
        <v>1</v>
      </c>
      <c r="X96" s="2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20">
        <v>1</v>
      </c>
      <c r="AI96" s="3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20">
        <v>1</v>
      </c>
    </row>
    <row r="97" spans="1:46" x14ac:dyDescent="0.45">
      <c r="A97" s="22">
        <v>93</v>
      </c>
      <c r="B97" s="11" t="s">
        <v>433</v>
      </c>
      <c r="C97" s="15"/>
      <c r="D97" s="15"/>
      <c r="E97" s="59"/>
      <c r="F97" s="67">
        <v>2589502</v>
      </c>
      <c r="G97" s="67"/>
      <c r="H97" s="67"/>
      <c r="I97" s="68"/>
      <c r="J97" s="13" t="s">
        <v>60</v>
      </c>
      <c r="K97" s="10" t="s">
        <v>319</v>
      </c>
      <c r="L97" s="10">
        <v>2589501</v>
      </c>
      <c r="M97" s="10">
        <v>6442.3</v>
      </c>
      <c r="N97" s="10" t="s">
        <v>324</v>
      </c>
      <c r="O97" s="10" t="s">
        <v>325</v>
      </c>
      <c r="P97" s="18">
        <f t="shared" si="5"/>
        <v>23</v>
      </c>
      <c r="Q97" s="22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8">
        <v>0</v>
      </c>
      <c r="X97" s="22">
        <v>1</v>
      </c>
      <c r="Y97" s="10">
        <v>1</v>
      </c>
      <c r="Z97" s="10">
        <v>1</v>
      </c>
      <c r="AA97" s="10">
        <v>1</v>
      </c>
      <c r="AB97" s="10">
        <v>1</v>
      </c>
      <c r="AC97" s="10">
        <v>1</v>
      </c>
      <c r="AD97" s="10">
        <v>1</v>
      </c>
      <c r="AE97" s="10">
        <v>1</v>
      </c>
      <c r="AF97" s="10">
        <v>1</v>
      </c>
      <c r="AG97" s="10">
        <v>1</v>
      </c>
      <c r="AH97" s="23">
        <v>1</v>
      </c>
      <c r="AI97" s="13">
        <v>1</v>
      </c>
      <c r="AJ97" s="10">
        <v>1</v>
      </c>
      <c r="AK97" s="10">
        <v>1</v>
      </c>
      <c r="AL97" s="10">
        <v>1</v>
      </c>
      <c r="AM97" s="10">
        <v>1</v>
      </c>
      <c r="AN97" s="10">
        <v>1</v>
      </c>
      <c r="AO97" s="10">
        <v>1</v>
      </c>
      <c r="AP97" s="10">
        <v>1</v>
      </c>
      <c r="AQ97" s="10">
        <v>1</v>
      </c>
      <c r="AR97" s="10">
        <v>1</v>
      </c>
      <c r="AS97" s="10">
        <v>1</v>
      </c>
      <c r="AT97" s="23">
        <v>1</v>
      </c>
    </row>
    <row r="98" spans="1:46" x14ac:dyDescent="0.45">
      <c r="A98" s="22">
        <v>94</v>
      </c>
      <c r="B98" s="11" t="s">
        <v>433</v>
      </c>
      <c r="C98" s="15"/>
      <c r="D98" s="15"/>
      <c r="E98" s="70"/>
      <c r="F98" s="59"/>
      <c r="G98" s="67">
        <v>2589503</v>
      </c>
      <c r="H98" s="67"/>
      <c r="I98" s="68"/>
      <c r="J98" s="13" t="s">
        <v>60</v>
      </c>
      <c r="K98" s="10" t="s">
        <v>319</v>
      </c>
      <c r="L98" s="10">
        <v>2589502</v>
      </c>
      <c r="M98" s="10">
        <v>2595.9</v>
      </c>
      <c r="N98" s="10" t="s">
        <v>326</v>
      </c>
      <c r="O98" s="10" t="s">
        <v>327</v>
      </c>
      <c r="P98" s="18">
        <f t="shared" si="5"/>
        <v>23</v>
      </c>
      <c r="Q98" s="22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8">
        <v>0</v>
      </c>
      <c r="X98" s="22">
        <v>1</v>
      </c>
      <c r="Y98" s="10">
        <v>1</v>
      </c>
      <c r="Z98" s="10">
        <v>1</v>
      </c>
      <c r="AA98" s="10">
        <v>1</v>
      </c>
      <c r="AB98" s="10">
        <v>1</v>
      </c>
      <c r="AC98" s="10">
        <v>1</v>
      </c>
      <c r="AD98" s="10">
        <v>1</v>
      </c>
      <c r="AE98" s="10">
        <v>1</v>
      </c>
      <c r="AF98" s="10">
        <v>1</v>
      </c>
      <c r="AG98" s="10">
        <v>1</v>
      </c>
      <c r="AH98" s="23">
        <v>1</v>
      </c>
      <c r="AI98" s="13">
        <v>1</v>
      </c>
      <c r="AJ98" s="10">
        <v>1</v>
      </c>
      <c r="AK98" s="10">
        <v>1</v>
      </c>
      <c r="AL98" s="10">
        <v>1</v>
      </c>
      <c r="AM98" s="10">
        <v>1</v>
      </c>
      <c r="AN98" s="10">
        <v>1</v>
      </c>
      <c r="AO98" s="10">
        <v>1</v>
      </c>
      <c r="AP98" s="10">
        <v>1</v>
      </c>
      <c r="AQ98" s="10">
        <v>1</v>
      </c>
      <c r="AR98" s="10">
        <v>1</v>
      </c>
      <c r="AS98" s="10">
        <v>1</v>
      </c>
      <c r="AT98" s="23">
        <v>1</v>
      </c>
    </row>
    <row r="99" spans="1:46" x14ac:dyDescent="0.45">
      <c r="A99" s="22">
        <v>95</v>
      </c>
      <c r="B99" s="11" t="s">
        <v>433</v>
      </c>
      <c r="C99" s="15"/>
      <c r="D99" s="15"/>
      <c r="E99" s="70"/>
      <c r="F99" s="71"/>
      <c r="G99" s="62">
        <v>2589504</v>
      </c>
      <c r="H99" s="63"/>
      <c r="I99" s="64"/>
      <c r="J99" s="13" t="s">
        <v>60</v>
      </c>
      <c r="K99" s="10" t="s">
        <v>319</v>
      </c>
      <c r="L99" s="10">
        <v>2589503</v>
      </c>
      <c r="M99" s="10">
        <v>2036.4</v>
      </c>
      <c r="N99" s="10" t="s">
        <v>328</v>
      </c>
      <c r="O99" s="10" t="s">
        <v>329</v>
      </c>
      <c r="P99" s="18">
        <f t="shared" si="5"/>
        <v>23</v>
      </c>
      <c r="Q99" s="22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8">
        <v>0</v>
      </c>
      <c r="X99" s="22">
        <v>1</v>
      </c>
      <c r="Y99" s="10">
        <v>1</v>
      </c>
      <c r="Z99" s="10">
        <v>1</v>
      </c>
      <c r="AA99" s="10">
        <v>1</v>
      </c>
      <c r="AB99" s="10">
        <v>1</v>
      </c>
      <c r="AC99" s="10">
        <v>1</v>
      </c>
      <c r="AD99" s="10">
        <v>1</v>
      </c>
      <c r="AE99" s="10">
        <v>1</v>
      </c>
      <c r="AF99" s="10">
        <v>1</v>
      </c>
      <c r="AG99" s="10">
        <v>1</v>
      </c>
      <c r="AH99" s="23">
        <v>1</v>
      </c>
      <c r="AI99" s="13">
        <v>1</v>
      </c>
      <c r="AJ99" s="10">
        <v>1</v>
      </c>
      <c r="AK99" s="10">
        <v>1</v>
      </c>
      <c r="AL99" s="10">
        <v>1</v>
      </c>
      <c r="AM99" s="10">
        <v>1</v>
      </c>
      <c r="AN99" s="10">
        <v>1</v>
      </c>
      <c r="AO99" s="10">
        <v>1</v>
      </c>
      <c r="AP99" s="10">
        <v>1</v>
      </c>
      <c r="AQ99" s="10">
        <v>1</v>
      </c>
      <c r="AR99" s="10">
        <v>1</v>
      </c>
      <c r="AS99" s="10">
        <v>1</v>
      </c>
      <c r="AT99" s="23">
        <v>1</v>
      </c>
    </row>
    <row r="100" spans="1:46" x14ac:dyDescent="0.45">
      <c r="A100" s="22">
        <v>97</v>
      </c>
      <c r="B100" s="11" t="s">
        <v>433</v>
      </c>
      <c r="C100" s="15"/>
      <c r="D100" s="14"/>
      <c r="E100" s="71"/>
      <c r="F100" s="62">
        <v>2589506</v>
      </c>
      <c r="G100" s="63"/>
      <c r="H100" s="63"/>
      <c r="I100" s="64"/>
      <c r="J100" s="13" t="s">
        <v>62</v>
      </c>
      <c r="K100" s="10" t="s">
        <v>333</v>
      </c>
      <c r="L100" s="10">
        <v>2589502</v>
      </c>
      <c r="M100" s="10">
        <v>2773</v>
      </c>
      <c r="N100" s="10" t="s">
        <v>334</v>
      </c>
      <c r="O100" s="10" t="s">
        <v>335</v>
      </c>
      <c r="P100" s="18">
        <f>SUM(Q100:AT100)</f>
        <v>23</v>
      </c>
      <c r="Q100" s="22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8">
        <v>0</v>
      </c>
      <c r="X100" s="22">
        <v>1</v>
      </c>
      <c r="Y100" s="10">
        <v>1</v>
      </c>
      <c r="Z100" s="10">
        <v>1</v>
      </c>
      <c r="AA100" s="10">
        <v>1</v>
      </c>
      <c r="AB100" s="10">
        <v>1</v>
      </c>
      <c r="AC100" s="10">
        <v>1</v>
      </c>
      <c r="AD100" s="10">
        <v>1</v>
      </c>
      <c r="AE100" s="10">
        <v>1</v>
      </c>
      <c r="AF100" s="10">
        <v>1</v>
      </c>
      <c r="AG100" s="10">
        <v>1</v>
      </c>
      <c r="AH100" s="23">
        <v>1</v>
      </c>
      <c r="AI100" s="13">
        <v>1</v>
      </c>
      <c r="AJ100" s="10">
        <v>1</v>
      </c>
      <c r="AK100" s="10">
        <v>1</v>
      </c>
      <c r="AL100" s="10">
        <v>1</v>
      </c>
      <c r="AM100" s="10">
        <v>1</v>
      </c>
      <c r="AN100" s="10">
        <v>1</v>
      </c>
      <c r="AO100" s="10">
        <v>1</v>
      </c>
      <c r="AP100" s="10">
        <v>1</v>
      </c>
      <c r="AQ100" s="10">
        <v>1</v>
      </c>
      <c r="AR100" s="10">
        <v>1</v>
      </c>
      <c r="AS100" s="10">
        <v>1</v>
      </c>
      <c r="AT100" s="23">
        <v>1</v>
      </c>
    </row>
    <row r="101" spans="1:46" x14ac:dyDescent="0.45">
      <c r="A101" s="21">
        <v>96</v>
      </c>
      <c r="B101" s="7">
        <v>60</v>
      </c>
      <c r="C101" s="9"/>
      <c r="D101" s="48">
        <v>2589505</v>
      </c>
      <c r="E101" s="52"/>
      <c r="F101" s="52"/>
      <c r="G101" s="52"/>
      <c r="H101" s="52"/>
      <c r="I101" s="58"/>
      <c r="J101" s="3" t="s">
        <v>61</v>
      </c>
      <c r="K101" s="1" t="s">
        <v>330</v>
      </c>
      <c r="L101" s="1">
        <v>2589500</v>
      </c>
      <c r="M101" s="1">
        <v>1408</v>
      </c>
      <c r="N101" s="1" t="s">
        <v>331</v>
      </c>
      <c r="O101" s="1" t="s">
        <v>332</v>
      </c>
      <c r="P101" s="16">
        <f t="shared" ref="P101" si="7">SUM(Q101:AT101)</f>
        <v>30</v>
      </c>
      <c r="Q101" s="2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6">
        <v>1</v>
      </c>
      <c r="X101" s="2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20">
        <v>1</v>
      </c>
      <c r="AI101" s="3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20">
        <v>1</v>
      </c>
    </row>
    <row r="102" spans="1:46" x14ac:dyDescent="0.45">
      <c r="A102" s="22">
        <v>98</v>
      </c>
      <c r="B102" s="11" t="s">
        <v>433</v>
      </c>
      <c r="C102" s="59"/>
      <c r="D102" s="67">
        <v>2589550</v>
      </c>
      <c r="E102" s="67"/>
      <c r="F102" s="67"/>
      <c r="G102" s="67"/>
      <c r="H102" s="67"/>
      <c r="I102" s="68"/>
      <c r="J102" s="13" t="s">
        <v>63</v>
      </c>
      <c r="K102" s="10" t="s">
        <v>336</v>
      </c>
      <c r="L102" s="10">
        <v>0</v>
      </c>
      <c r="M102" s="10">
        <v>6997</v>
      </c>
      <c r="N102" s="10" t="s">
        <v>337</v>
      </c>
      <c r="O102" s="10" t="s">
        <v>338</v>
      </c>
      <c r="P102" s="18">
        <f t="shared" si="5"/>
        <v>23</v>
      </c>
      <c r="Q102" s="22">
        <v>1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8">
        <v>0</v>
      </c>
      <c r="X102" s="22">
        <v>1</v>
      </c>
      <c r="Y102" s="10">
        <v>1</v>
      </c>
      <c r="Z102" s="10">
        <v>1</v>
      </c>
      <c r="AA102" s="10">
        <v>1</v>
      </c>
      <c r="AB102" s="10">
        <v>1</v>
      </c>
      <c r="AC102" s="10">
        <v>1</v>
      </c>
      <c r="AD102" s="10">
        <v>1</v>
      </c>
      <c r="AE102" s="10">
        <v>1</v>
      </c>
      <c r="AF102" s="10">
        <v>1</v>
      </c>
      <c r="AG102" s="10">
        <v>1</v>
      </c>
      <c r="AH102" s="23">
        <v>1</v>
      </c>
      <c r="AI102" s="13">
        <v>1</v>
      </c>
      <c r="AJ102" s="10">
        <v>1</v>
      </c>
      <c r="AK102" s="10">
        <v>1</v>
      </c>
      <c r="AL102" s="10">
        <v>1</v>
      </c>
      <c r="AM102" s="10">
        <v>0</v>
      </c>
      <c r="AN102" s="10">
        <v>1</v>
      </c>
      <c r="AO102" s="10">
        <v>1</v>
      </c>
      <c r="AP102" s="10">
        <v>1</v>
      </c>
      <c r="AQ102" s="10">
        <v>1</v>
      </c>
      <c r="AR102" s="10">
        <v>1</v>
      </c>
      <c r="AS102" s="10">
        <v>1</v>
      </c>
      <c r="AT102" s="23">
        <v>1</v>
      </c>
    </row>
    <row r="103" spans="1:46" x14ac:dyDescent="0.45">
      <c r="A103" s="22">
        <v>99</v>
      </c>
      <c r="B103" s="11" t="s">
        <v>433</v>
      </c>
      <c r="C103" s="70"/>
      <c r="D103" s="59"/>
      <c r="E103" s="67">
        <v>2589551</v>
      </c>
      <c r="F103" s="67"/>
      <c r="G103" s="67"/>
      <c r="H103" s="67"/>
      <c r="I103" s="68"/>
      <c r="J103" s="13" t="s">
        <v>63</v>
      </c>
      <c r="K103" s="10" t="s">
        <v>336</v>
      </c>
      <c r="L103" s="10">
        <v>2589550</v>
      </c>
      <c r="M103" s="10">
        <v>2714.9</v>
      </c>
      <c r="N103" s="10" t="s">
        <v>339</v>
      </c>
      <c r="O103" s="10" t="s">
        <v>340</v>
      </c>
      <c r="P103" s="18">
        <f t="shared" si="5"/>
        <v>22</v>
      </c>
      <c r="Q103" s="22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8">
        <v>0</v>
      </c>
      <c r="X103" s="22">
        <v>1</v>
      </c>
      <c r="Y103" s="10">
        <v>1</v>
      </c>
      <c r="Z103" s="10">
        <v>1</v>
      </c>
      <c r="AA103" s="10">
        <v>1</v>
      </c>
      <c r="AB103" s="10">
        <v>1</v>
      </c>
      <c r="AC103" s="10">
        <v>1</v>
      </c>
      <c r="AD103" s="10">
        <v>1</v>
      </c>
      <c r="AE103" s="10">
        <v>1</v>
      </c>
      <c r="AF103" s="10">
        <v>1</v>
      </c>
      <c r="AG103" s="10">
        <v>1</v>
      </c>
      <c r="AH103" s="23">
        <v>1</v>
      </c>
      <c r="AI103" s="13">
        <v>1</v>
      </c>
      <c r="AJ103" s="10">
        <v>1</v>
      </c>
      <c r="AK103" s="10">
        <v>1</v>
      </c>
      <c r="AL103" s="10">
        <v>1</v>
      </c>
      <c r="AM103" s="10">
        <v>0</v>
      </c>
      <c r="AN103" s="10">
        <v>1</v>
      </c>
      <c r="AO103" s="10">
        <v>1</v>
      </c>
      <c r="AP103" s="10">
        <v>1</v>
      </c>
      <c r="AQ103" s="10">
        <v>1</v>
      </c>
      <c r="AR103" s="10">
        <v>1</v>
      </c>
      <c r="AS103" s="10">
        <v>1</v>
      </c>
      <c r="AT103" s="23">
        <v>1</v>
      </c>
    </row>
    <row r="104" spans="1:46" x14ac:dyDescent="0.45">
      <c r="A104" s="22">
        <v>100</v>
      </c>
      <c r="B104" s="11" t="s">
        <v>433</v>
      </c>
      <c r="C104" s="71"/>
      <c r="D104" s="71"/>
      <c r="E104" s="62">
        <v>2589552</v>
      </c>
      <c r="F104" s="63"/>
      <c r="G104" s="63"/>
      <c r="H104" s="63"/>
      <c r="I104" s="64"/>
      <c r="J104" s="13" t="s">
        <v>63</v>
      </c>
      <c r="K104" s="10" t="s">
        <v>336</v>
      </c>
      <c r="L104" s="10">
        <v>2589551</v>
      </c>
      <c r="M104" s="10">
        <v>868</v>
      </c>
      <c r="N104" s="10" t="s">
        <v>341</v>
      </c>
      <c r="O104" s="10" t="s">
        <v>342</v>
      </c>
      <c r="P104" s="18">
        <f t="shared" si="5"/>
        <v>22</v>
      </c>
      <c r="Q104" s="22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8">
        <v>0</v>
      </c>
      <c r="X104" s="22">
        <v>1</v>
      </c>
      <c r="Y104" s="10">
        <v>1</v>
      </c>
      <c r="Z104" s="10">
        <v>1</v>
      </c>
      <c r="AA104" s="10">
        <v>1</v>
      </c>
      <c r="AB104" s="10">
        <v>1</v>
      </c>
      <c r="AC104" s="10">
        <v>1</v>
      </c>
      <c r="AD104" s="10">
        <v>1</v>
      </c>
      <c r="AE104" s="10">
        <v>1</v>
      </c>
      <c r="AF104" s="10">
        <v>1</v>
      </c>
      <c r="AG104" s="10">
        <v>1</v>
      </c>
      <c r="AH104" s="23">
        <v>1</v>
      </c>
      <c r="AI104" s="13">
        <v>1</v>
      </c>
      <c r="AJ104" s="10">
        <v>1</v>
      </c>
      <c r="AK104" s="10">
        <v>1</v>
      </c>
      <c r="AL104" s="10">
        <v>1</v>
      </c>
      <c r="AM104" s="10">
        <v>0</v>
      </c>
      <c r="AN104" s="10">
        <v>1</v>
      </c>
      <c r="AO104" s="10">
        <v>1</v>
      </c>
      <c r="AP104" s="10">
        <v>1</v>
      </c>
      <c r="AQ104" s="10">
        <v>1</v>
      </c>
      <c r="AR104" s="10">
        <v>1</v>
      </c>
      <c r="AS104" s="10">
        <v>1</v>
      </c>
      <c r="AT104" s="23">
        <v>1</v>
      </c>
    </row>
    <row r="105" spans="1:46" x14ac:dyDescent="0.45">
      <c r="A105" s="21">
        <v>101</v>
      </c>
      <c r="B105" s="7">
        <v>61</v>
      </c>
      <c r="C105" s="44">
        <v>2589600</v>
      </c>
      <c r="D105" s="45"/>
      <c r="E105" s="45"/>
      <c r="F105" s="45"/>
      <c r="G105" s="45"/>
      <c r="H105" s="45"/>
      <c r="I105" s="46"/>
      <c r="J105" s="1" t="s">
        <v>64</v>
      </c>
      <c r="K105" s="1" t="s">
        <v>343</v>
      </c>
      <c r="L105" s="1">
        <v>0</v>
      </c>
      <c r="M105" s="1">
        <v>1740.3</v>
      </c>
      <c r="N105" s="1" t="s">
        <v>344</v>
      </c>
      <c r="O105" s="1" t="s">
        <v>345</v>
      </c>
      <c r="P105" s="16">
        <f t="shared" si="5"/>
        <v>30</v>
      </c>
      <c r="Q105" s="2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6">
        <v>1</v>
      </c>
      <c r="X105" s="2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20">
        <v>1</v>
      </c>
      <c r="AI105" s="3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20">
        <v>1</v>
      </c>
    </row>
    <row r="106" spans="1:46" x14ac:dyDescent="0.45">
      <c r="A106" s="21">
        <v>102</v>
      </c>
      <c r="B106" s="7">
        <v>62</v>
      </c>
      <c r="C106" s="44">
        <v>2589610</v>
      </c>
      <c r="D106" s="45"/>
      <c r="E106" s="45"/>
      <c r="F106" s="45"/>
      <c r="G106" s="45"/>
      <c r="H106" s="45"/>
      <c r="I106" s="46"/>
      <c r="J106" s="1" t="s">
        <v>65</v>
      </c>
      <c r="K106" s="1" t="s">
        <v>346</v>
      </c>
      <c r="L106" s="1">
        <v>0</v>
      </c>
      <c r="M106" s="1">
        <v>937</v>
      </c>
      <c r="N106" s="1" t="s">
        <v>347</v>
      </c>
      <c r="O106" s="1" t="s">
        <v>348</v>
      </c>
      <c r="P106" s="16">
        <f t="shared" si="5"/>
        <v>30</v>
      </c>
      <c r="Q106" s="2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6">
        <v>1</v>
      </c>
      <c r="X106" s="2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1</v>
      </c>
      <c r="AH106" s="20">
        <v>1</v>
      </c>
      <c r="AI106" s="3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1</v>
      </c>
      <c r="AT106" s="20">
        <v>1</v>
      </c>
    </row>
    <row r="107" spans="1:46" x14ac:dyDescent="0.45">
      <c r="A107" s="21">
        <v>103</v>
      </c>
      <c r="B107" s="7">
        <v>63</v>
      </c>
      <c r="C107" s="48">
        <v>2589620</v>
      </c>
      <c r="D107" s="52"/>
      <c r="E107" s="52"/>
      <c r="F107" s="52"/>
      <c r="G107" s="52"/>
      <c r="H107" s="52"/>
      <c r="I107" s="58"/>
      <c r="J107" s="1" t="s">
        <v>66</v>
      </c>
      <c r="K107" s="1" t="s">
        <v>349</v>
      </c>
      <c r="L107" s="1">
        <v>0</v>
      </c>
      <c r="M107" s="1">
        <v>695.1</v>
      </c>
      <c r="N107" s="1" t="s">
        <v>350</v>
      </c>
      <c r="O107" s="1" t="s">
        <v>351</v>
      </c>
      <c r="P107" s="16">
        <f t="shared" si="5"/>
        <v>30</v>
      </c>
      <c r="Q107" s="2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6">
        <v>1</v>
      </c>
      <c r="X107" s="2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20">
        <v>1</v>
      </c>
      <c r="AI107" s="3">
        <v>1</v>
      </c>
      <c r="AJ107" s="1">
        <v>1</v>
      </c>
      <c r="AK107" s="1">
        <v>1</v>
      </c>
      <c r="AL107" s="1">
        <v>1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1</v>
      </c>
      <c r="AS107" s="1">
        <v>1</v>
      </c>
      <c r="AT107" s="20">
        <v>1</v>
      </c>
    </row>
    <row r="108" spans="1:46" x14ac:dyDescent="0.45">
      <c r="A108" s="22">
        <v>105</v>
      </c>
      <c r="B108" s="11" t="s">
        <v>433</v>
      </c>
      <c r="C108" s="12"/>
      <c r="D108" s="67">
        <v>2589701</v>
      </c>
      <c r="E108" s="67"/>
      <c r="F108" s="67"/>
      <c r="G108" s="67"/>
      <c r="H108" s="67"/>
      <c r="I108" s="68"/>
      <c r="J108" s="13" t="s">
        <v>67</v>
      </c>
      <c r="K108" s="10" t="s">
        <v>352</v>
      </c>
      <c r="L108" s="10">
        <v>0</v>
      </c>
      <c r="M108" s="10">
        <v>6497.2</v>
      </c>
      <c r="N108" s="10" t="s">
        <v>355</v>
      </c>
      <c r="O108" s="10" t="s">
        <v>356</v>
      </c>
      <c r="P108" s="18">
        <f>SUM(Q108:AT108)</f>
        <v>21</v>
      </c>
      <c r="Q108" s="22">
        <v>1</v>
      </c>
      <c r="R108" s="10">
        <v>1</v>
      </c>
      <c r="S108" s="10">
        <v>1</v>
      </c>
      <c r="T108" s="10">
        <v>1</v>
      </c>
      <c r="U108" s="10">
        <v>1</v>
      </c>
      <c r="V108" s="10">
        <v>1</v>
      </c>
      <c r="W108" s="18">
        <v>1</v>
      </c>
      <c r="X108" s="22">
        <v>1</v>
      </c>
      <c r="Y108" s="10">
        <v>1</v>
      </c>
      <c r="Z108" s="10">
        <v>1</v>
      </c>
      <c r="AA108" s="10">
        <v>1</v>
      </c>
      <c r="AB108" s="10">
        <v>1</v>
      </c>
      <c r="AC108" s="10">
        <v>1</v>
      </c>
      <c r="AD108" s="10">
        <v>1</v>
      </c>
      <c r="AE108" s="10">
        <v>1</v>
      </c>
      <c r="AF108" s="10">
        <v>1</v>
      </c>
      <c r="AG108" s="10">
        <v>1</v>
      </c>
      <c r="AH108" s="23">
        <v>0</v>
      </c>
      <c r="AI108" s="13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1</v>
      </c>
      <c r="AQ108" s="10">
        <v>0</v>
      </c>
      <c r="AR108" s="10">
        <v>1</v>
      </c>
      <c r="AS108" s="10">
        <v>1</v>
      </c>
      <c r="AT108" s="23">
        <v>1</v>
      </c>
    </row>
    <row r="109" spans="1:46" x14ac:dyDescent="0.45">
      <c r="A109" s="21">
        <v>104</v>
      </c>
      <c r="B109" s="7">
        <v>64</v>
      </c>
      <c r="C109" s="49"/>
      <c r="D109" s="48"/>
      <c r="E109" s="52">
        <v>2589700</v>
      </c>
      <c r="F109" s="52"/>
      <c r="G109" s="52"/>
      <c r="H109" s="52"/>
      <c r="I109" s="58"/>
      <c r="J109" s="3" t="s">
        <v>67</v>
      </c>
      <c r="K109" s="1" t="s">
        <v>352</v>
      </c>
      <c r="L109" s="1">
        <v>2589701</v>
      </c>
      <c r="M109" s="1">
        <v>6270.9</v>
      </c>
      <c r="N109" s="1" t="s">
        <v>353</v>
      </c>
      <c r="O109" s="1" t="s">
        <v>354</v>
      </c>
      <c r="P109" s="16">
        <f t="shared" ref="P109" si="8">SUM(Q109:AT109)</f>
        <v>30</v>
      </c>
      <c r="Q109" s="2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6">
        <v>1</v>
      </c>
      <c r="X109" s="2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20">
        <v>1</v>
      </c>
      <c r="AI109" s="3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1</v>
      </c>
      <c r="AT109" s="20">
        <v>1</v>
      </c>
    </row>
    <row r="110" spans="1:46" x14ac:dyDescent="0.45">
      <c r="A110" s="21">
        <v>106</v>
      </c>
      <c r="B110" s="7">
        <v>65</v>
      </c>
      <c r="C110" s="49"/>
      <c r="D110" s="49"/>
      <c r="E110" s="48"/>
      <c r="F110" s="52">
        <v>2589702</v>
      </c>
      <c r="G110" s="52"/>
      <c r="H110" s="52"/>
      <c r="I110" s="58"/>
      <c r="J110" s="3" t="s">
        <v>67</v>
      </c>
      <c r="K110" s="1" t="s">
        <v>352</v>
      </c>
      <c r="L110" s="1">
        <v>2589700</v>
      </c>
      <c r="M110" s="1">
        <v>3769.5</v>
      </c>
      <c r="N110" s="1" t="s">
        <v>357</v>
      </c>
      <c r="O110" s="1" t="s">
        <v>358</v>
      </c>
      <c r="P110" s="16">
        <f t="shared" si="5"/>
        <v>30</v>
      </c>
      <c r="Q110" s="2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6">
        <v>1</v>
      </c>
      <c r="X110" s="2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1</v>
      </c>
      <c r="AH110" s="20">
        <v>1</v>
      </c>
      <c r="AI110" s="3">
        <v>1</v>
      </c>
      <c r="AJ110" s="1">
        <v>1</v>
      </c>
      <c r="AK110" s="1">
        <v>1</v>
      </c>
      <c r="AL110" s="1">
        <v>1</v>
      </c>
      <c r="AM110" s="1">
        <v>1</v>
      </c>
      <c r="AN110" s="1">
        <v>1</v>
      </c>
      <c r="AO110" s="1">
        <v>1</v>
      </c>
      <c r="AP110" s="1">
        <v>1</v>
      </c>
      <c r="AQ110" s="1">
        <v>1</v>
      </c>
      <c r="AR110" s="1">
        <v>1</v>
      </c>
      <c r="AS110" s="1">
        <v>1</v>
      </c>
      <c r="AT110" s="20">
        <v>1</v>
      </c>
    </row>
    <row r="111" spans="1:46" x14ac:dyDescent="0.45">
      <c r="A111" s="21">
        <v>107</v>
      </c>
      <c r="B111" s="7">
        <v>66</v>
      </c>
      <c r="C111" s="49"/>
      <c r="D111" s="49"/>
      <c r="E111" s="49"/>
      <c r="F111" s="48"/>
      <c r="G111" s="52">
        <v>2589703</v>
      </c>
      <c r="H111" s="52"/>
      <c r="I111" s="58"/>
      <c r="J111" s="3" t="s">
        <v>67</v>
      </c>
      <c r="K111" s="1" t="s">
        <v>352</v>
      </c>
      <c r="L111" s="1">
        <v>2589702</v>
      </c>
      <c r="M111" s="1">
        <v>2146.9</v>
      </c>
      <c r="N111" s="1" t="s">
        <v>359</v>
      </c>
      <c r="O111" s="1" t="s">
        <v>360</v>
      </c>
      <c r="P111" s="16">
        <f t="shared" si="5"/>
        <v>30</v>
      </c>
      <c r="Q111" s="2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6">
        <v>1</v>
      </c>
      <c r="X111" s="2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20">
        <v>1</v>
      </c>
      <c r="AI111" s="3">
        <v>1</v>
      </c>
      <c r="AJ111" s="1">
        <v>1</v>
      </c>
      <c r="AK111" s="1">
        <v>1</v>
      </c>
      <c r="AL111" s="1">
        <v>1</v>
      </c>
      <c r="AM111" s="1">
        <v>1</v>
      </c>
      <c r="AN111" s="1">
        <v>1</v>
      </c>
      <c r="AO111" s="1">
        <v>1</v>
      </c>
      <c r="AP111" s="1">
        <v>1</v>
      </c>
      <c r="AQ111" s="1">
        <v>1</v>
      </c>
      <c r="AR111" s="1">
        <v>1</v>
      </c>
      <c r="AS111" s="1">
        <v>1</v>
      </c>
      <c r="AT111" s="20">
        <v>1</v>
      </c>
    </row>
    <row r="112" spans="1:46" x14ac:dyDescent="0.45">
      <c r="A112" s="21">
        <v>108</v>
      </c>
      <c r="B112" s="7">
        <v>67</v>
      </c>
      <c r="C112" s="50"/>
      <c r="D112" s="49"/>
      <c r="E112" s="49"/>
      <c r="F112" s="49"/>
      <c r="G112" s="48">
        <v>2589704</v>
      </c>
      <c r="H112" s="52"/>
      <c r="I112" s="58"/>
      <c r="J112" s="3" t="s">
        <v>67</v>
      </c>
      <c r="K112" s="1" t="s">
        <v>352</v>
      </c>
      <c r="L112" s="1">
        <v>2589703</v>
      </c>
      <c r="M112" s="1">
        <v>1917.9</v>
      </c>
      <c r="N112" s="1" t="s">
        <v>361</v>
      </c>
      <c r="O112" s="1" t="s">
        <v>362</v>
      </c>
      <c r="P112" s="16">
        <f t="shared" si="5"/>
        <v>29</v>
      </c>
      <c r="Q112" s="2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6">
        <v>1</v>
      </c>
      <c r="X112" s="2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20">
        <v>1</v>
      </c>
      <c r="AI112" s="3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0</v>
      </c>
      <c r="AQ112" s="1">
        <v>1</v>
      </c>
      <c r="AR112" s="1">
        <v>1</v>
      </c>
      <c r="AS112" s="1">
        <v>1</v>
      </c>
      <c r="AT112" s="20">
        <v>1</v>
      </c>
    </row>
    <row r="113" spans="1:46" x14ac:dyDescent="0.45">
      <c r="A113" s="21">
        <v>109</v>
      </c>
      <c r="B113" s="7">
        <v>68</v>
      </c>
      <c r="C113" s="8"/>
      <c r="D113" s="52">
        <v>2589750</v>
      </c>
      <c r="E113" s="52"/>
      <c r="F113" s="52"/>
      <c r="G113" s="52"/>
      <c r="H113" s="52"/>
      <c r="I113" s="58"/>
      <c r="J113" s="3" t="s">
        <v>68</v>
      </c>
      <c r="K113" s="1" t="s">
        <v>363</v>
      </c>
      <c r="L113" s="1">
        <v>0</v>
      </c>
      <c r="M113" s="1">
        <v>4035</v>
      </c>
      <c r="N113" s="1" t="s">
        <v>364</v>
      </c>
      <c r="O113" s="1" t="s">
        <v>365</v>
      </c>
      <c r="P113" s="16">
        <f t="shared" si="5"/>
        <v>30</v>
      </c>
      <c r="Q113" s="2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6">
        <v>1</v>
      </c>
      <c r="X113" s="2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1</v>
      </c>
      <c r="AH113" s="20">
        <v>1</v>
      </c>
      <c r="AI113" s="3">
        <v>1</v>
      </c>
      <c r="AJ113" s="1">
        <v>1</v>
      </c>
      <c r="AK113" s="1">
        <v>1</v>
      </c>
      <c r="AL113" s="1">
        <v>1</v>
      </c>
      <c r="AM113" s="1">
        <v>1</v>
      </c>
      <c r="AN113" s="1">
        <v>1</v>
      </c>
      <c r="AO113" s="1">
        <v>1</v>
      </c>
      <c r="AP113" s="1">
        <v>1</v>
      </c>
      <c r="AQ113" s="1">
        <v>1</v>
      </c>
      <c r="AR113" s="1">
        <v>1</v>
      </c>
      <c r="AS113" s="1">
        <v>1</v>
      </c>
      <c r="AT113" s="20">
        <v>1</v>
      </c>
    </row>
    <row r="114" spans="1:46" x14ac:dyDescent="0.45">
      <c r="A114" s="22">
        <v>110</v>
      </c>
      <c r="B114" s="11" t="s">
        <v>433</v>
      </c>
      <c r="C114" s="70"/>
      <c r="D114" s="59"/>
      <c r="E114" s="67">
        <v>2589751</v>
      </c>
      <c r="F114" s="67"/>
      <c r="G114" s="67"/>
      <c r="H114" s="67"/>
      <c r="I114" s="68"/>
      <c r="J114" s="13" t="s">
        <v>68</v>
      </c>
      <c r="K114" s="10" t="s">
        <v>363</v>
      </c>
      <c r="L114" s="10">
        <v>2589750</v>
      </c>
      <c r="M114" s="10">
        <v>3336.5</v>
      </c>
      <c r="N114" s="10" t="s">
        <v>366</v>
      </c>
      <c r="O114" s="10" t="s">
        <v>367</v>
      </c>
      <c r="P114" s="18">
        <f t="shared" si="5"/>
        <v>22</v>
      </c>
      <c r="Q114" s="22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8">
        <v>0</v>
      </c>
      <c r="X114" s="22">
        <v>1</v>
      </c>
      <c r="Y114" s="10">
        <v>1</v>
      </c>
      <c r="Z114" s="10">
        <v>1</v>
      </c>
      <c r="AA114" s="10">
        <v>1</v>
      </c>
      <c r="AB114" s="10">
        <v>1</v>
      </c>
      <c r="AC114" s="10">
        <v>1</v>
      </c>
      <c r="AD114" s="10">
        <v>1</v>
      </c>
      <c r="AE114" s="10">
        <v>1</v>
      </c>
      <c r="AF114" s="10">
        <v>1</v>
      </c>
      <c r="AG114" s="10">
        <v>1</v>
      </c>
      <c r="AH114" s="23">
        <v>1</v>
      </c>
      <c r="AI114" s="13">
        <v>1</v>
      </c>
      <c r="AJ114" s="10">
        <v>1</v>
      </c>
      <c r="AK114" s="10">
        <v>0</v>
      </c>
      <c r="AL114" s="10">
        <v>1</v>
      </c>
      <c r="AM114" s="10">
        <v>1</v>
      </c>
      <c r="AN114" s="10">
        <v>1</v>
      </c>
      <c r="AO114" s="10">
        <v>1</v>
      </c>
      <c r="AP114" s="10">
        <v>1</v>
      </c>
      <c r="AQ114" s="10">
        <v>1</v>
      </c>
      <c r="AR114" s="10">
        <v>1</v>
      </c>
      <c r="AS114" s="10">
        <v>1</v>
      </c>
      <c r="AT114" s="23">
        <v>1</v>
      </c>
    </row>
    <row r="115" spans="1:46" x14ac:dyDescent="0.45">
      <c r="A115" s="22">
        <v>111</v>
      </c>
      <c r="B115" s="11" t="s">
        <v>433</v>
      </c>
      <c r="C115" s="70"/>
      <c r="D115" s="70"/>
      <c r="E115" s="59"/>
      <c r="F115" s="67">
        <v>2589752</v>
      </c>
      <c r="G115" s="67"/>
      <c r="H115" s="67"/>
      <c r="I115" s="68"/>
      <c r="J115" s="13" t="s">
        <v>68</v>
      </c>
      <c r="K115" s="10" t="s">
        <v>363</v>
      </c>
      <c r="L115" s="10">
        <v>2589751</v>
      </c>
      <c r="M115" s="10">
        <v>1882.1</v>
      </c>
      <c r="N115" s="10" t="s">
        <v>368</v>
      </c>
      <c r="O115" s="10" t="s">
        <v>369</v>
      </c>
      <c r="P115" s="18">
        <f t="shared" si="5"/>
        <v>22</v>
      </c>
      <c r="Q115" s="22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8">
        <v>0</v>
      </c>
      <c r="X115" s="22">
        <v>1</v>
      </c>
      <c r="Y115" s="10">
        <v>1</v>
      </c>
      <c r="Z115" s="10">
        <v>1</v>
      </c>
      <c r="AA115" s="10">
        <v>1</v>
      </c>
      <c r="AB115" s="10">
        <v>1</v>
      </c>
      <c r="AC115" s="10">
        <v>1</v>
      </c>
      <c r="AD115" s="10">
        <v>1</v>
      </c>
      <c r="AE115" s="10">
        <v>1</v>
      </c>
      <c r="AF115" s="10">
        <v>1</v>
      </c>
      <c r="AG115" s="10">
        <v>1</v>
      </c>
      <c r="AH115" s="23">
        <v>1</v>
      </c>
      <c r="AI115" s="13">
        <v>1</v>
      </c>
      <c r="AJ115" s="10">
        <v>1</v>
      </c>
      <c r="AK115" s="10">
        <v>0</v>
      </c>
      <c r="AL115" s="10">
        <v>1</v>
      </c>
      <c r="AM115" s="10">
        <v>1</v>
      </c>
      <c r="AN115" s="10">
        <v>1</v>
      </c>
      <c r="AO115" s="10">
        <v>1</v>
      </c>
      <c r="AP115" s="10">
        <v>1</v>
      </c>
      <c r="AQ115" s="10">
        <v>1</v>
      </c>
      <c r="AR115" s="10">
        <v>1</v>
      </c>
      <c r="AS115" s="10">
        <v>1</v>
      </c>
      <c r="AT115" s="23">
        <v>1</v>
      </c>
    </row>
    <row r="116" spans="1:46" x14ac:dyDescent="0.45">
      <c r="A116" s="22">
        <v>112</v>
      </c>
      <c r="B116" s="11" t="s">
        <v>433</v>
      </c>
      <c r="C116" s="70"/>
      <c r="D116" s="70"/>
      <c r="E116" s="71"/>
      <c r="F116" s="62">
        <v>2589753</v>
      </c>
      <c r="G116" s="63"/>
      <c r="H116" s="63"/>
      <c r="I116" s="64"/>
      <c r="J116" s="13" t="s">
        <v>68</v>
      </c>
      <c r="K116" s="10" t="s">
        <v>363</v>
      </c>
      <c r="L116" s="10">
        <v>2589752</v>
      </c>
      <c r="M116" s="10">
        <v>1240</v>
      </c>
      <c r="N116" s="10" t="s">
        <v>370</v>
      </c>
      <c r="O116" s="10" t="s">
        <v>371</v>
      </c>
      <c r="P116" s="18">
        <f t="shared" si="5"/>
        <v>22</v>
      </c>
      <c r="Q116" s="22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8">
        <v>0</v>
      </c>
      <c r="X116" s="22">
        <v>1</v>
      </c>
      <c r="Y116" s="10">
        <v>1</v>
      </c>
      <c r="Z116" s="10">
        <v>1</v>
      </c>
      <c r="AA116" s="10">
        <v>1</v>
      </c>
      <c r="AB116" s="10">
        <v>1</v>
      </c>
      <c r="AC116" s="10">
        <v>1</v>
      </c>
      <c r="AD116" s="10">
        <v>1</v>
      </c>
      <c r="AE116" s="10">
        <v>1</v>
      </c>
      <c r="AF116" s="10">
        <v>1</v>
      </c>
      <c r="AG116" s="10">
        <v>1</v>
      </c>
      <c r="AH116" s="23">
        <v>1</v>
      </c>
      <c r="AI116" s="13">
        <v>1</v>
      </c>
      <c r="AJ116" s="10">
        <v>1</v>
      </c>
      <c r="AK116" s="10">
        <v>0</v>
      </c>
      <c r="AL116" s="10">
        <v>1</v>
      </c>
      <c r="AM116" s="10">
        <v>1</v>
      </c>
      <c r="AN116" s="10">
        <v>1</v>
      </c>
      <c r="AO116" s="10">
        <v>1</v>
      </c>
      <c r="AP116" s="10">
        <v>1</v>
      </c>
      <c r="AQ116" s="10">
        <v>1</v>
      </c>
      <c r="AR116" s="10">
        <v>1</v>
      </c>
      <c r="AS116" s="10">
        <v>1</v>
      </c>
      <c r="AT116" s="23">
        <v>1</v>
      </c>
    </row>
    <row r="117" spans="1:46" x14ac:dyDescent="0.45">
      <c r="A117" s="22">
        <v>113</v>
      </c>
      <c r="B117" s="11" t="s">
        <v>433</v>
      </c>
      <c r="C117" s="71"/>
      <c r="D117" s="70"/>
      <c r="E117" s="59">
        <v>2589754</v>
      </c>
      <c r="F117" s="67"/>
      <c r="G117" s="67"/>
      <c r="H117" s="67"/>
      <c r="I117" s="68"/>
      <c r="J117" s="13" t="s">
        <v>32</v>
      </c>
      <c r="K117" s="10" t="s">
        <v>372</v>
      </c>
      <c r="L117" s="10">
        <v>2589751</v>
      </c>
      <c r="M117" s="10">
        <v>1088</v>
      </c>
      <c r="N117" s="10" t="s">
        <v>373</v>
      </c>
      <c r="O117" s="10" t="s">
        <v>374</v>
      </c>
      <c r="P117" s="18">
        <f t="shared" si="5"/>
        <v>22</v>
      </c>
      <c r="Q117" s="22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8">
        <v>0</v>
      </c>
      <c r="X117" s="22">
        <v>1</v>
      </c>
      <c r="Y117" s="10">
        <v>1</v>
      </c>
      <c r="Z117" s="10">
        <v>1</v>
      </c>
      <c r="AA117" s="10">
        <v>1</v>
      </c>
      <c r="AB117" s="10">
        <v>1</v>
      </c>
      <c r="AC117" s="10">
        <v>1</v>
      </c>
      <c r="AD117" s="10">
        <v>1</v>
      </c>
      <c r="AE117" s="10">
        <v>1</v>
      </c>
      <c r="AF117" s="10">
        <v>1</v>
      </c>
      <c r="AG117" s="10">
        <v>1</v>
      </c>
      <c r="AH117" s="23">
        <v>1</v>
      </c>
      <c r="AI117" s="13">
        <v>1</v>
      </c>
      <c r="AJ117" s="10">
        <v>1</v>
      </c>
      <c r="AK117" s="10">
        <v>0</v>
      </c>
      <c r="AL117" s="10">
        <v>1</v>
      </c>
      <c r="AM117" s="10">
        <v>1</v>
      </c>
      <c r="AN117" s="10">
        <v>1</v>
      </c>
      <c r="AO117" s="10">
        <v>1</v>
      </c>
      <c r="AP117" s="10">
        <v>1</v>
      </c>
      <c r="AQ117" s="10">
        <v>1</v>
      </c>
      <c r="AR117" s="10">
        <v>1</v>
      </c>
      <c r="AS117" s="10">
        <v>1</v>
      </c>
      <c r="AT117" s="23">
        <v>1</v>
      </c>
    </row>
    <row r="118" spans="1:46" x14ac:dyDescent="0.45">
      <c r="A118" s="21">
        <v>114</v>
      </c>
      <c r="B118" s="7">
        <v>69</v>
      </c>
      <c r="C118" s="48"/>
      <c r="D118" s="52">
        <v>2589800</v>
      </c>
      <c r="E118" s="52"/>
      <c r="F118" s="52"/>
      <c r="G118" s="52"/>
      <c r="H118" s="52"/>
      <c r="I118" s="58"/>
      <c r="J118" s="3" t="s">
        <v>69</v>
      </c>
      <c r="K118" s="1" t="s">
        <v>375</v>
      </c>
      <c r="L118" s="1">
        <v>0</v>
      </c>
      <c r="M118" s="1">
        <v>3750.4</v>
      </c>
      <c r="N118" s="1" t="s">
        <v>376</v>
      </c>
      <c r="O118" s="1" t="s">
        <v>377</v>
      </c>
      <c r="P118" s="16">
        <f t="shared" si="5"/>
        <v>29</v>
      </c>
      <c r="Q118" s="2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6">
        <v>1</v>
      </c>
      <c r="X118" s="2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20">
        <v>1</v>
      </c>
      <c r="AI118" s="3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0</v>
      </c>
      <c r="AO118" s="1">
        <v>1</v>
      </c>
      <c r="AP118" s="1">
        <v>1</v>
      </c>
      <c r="AQ118" s="1">
        <v>1</v>
      </c>
      <c r="AR118" s="1">
        <v>1</v>
      </c>
      <c r="AS118" s="1">
        <v>1</v>
      </c>
      <c r="AT118" s="20">
        <v>1</v>
      </c>
    </row>
    <row r="119" spans="1:46" x14ac:dyDescent="0.45">
      <c r="A119" s="21">
        <v>115</v>
      </c>
      <c r="B119" s="7">
        <v>70</v>
      </c>
      <c r="C119" s="49"/>
      <c r="D119" s="48"/>
      <c r="E119" s="52">
        <v>2589801</v>
      </c>
      <c r="F119" s="52"/>
      <c r="G119" s="52"/>
      <c r="H119" s="52"/>
      <c r="I119" s="58"/>
      <c r="J119" s="3" t="s">
        <v>69</v>
      </c>
      <c r="K119" s="1" t="s">
        <v>375</v>
      </c>
      <c r="L119" s="1">
        <v>2589800</v>
      </c>
      <c r="M119" s="1">
        <v>2109</v>
      </c>
      <c r="N119" s="1" t="s">
        <v>378</v>
      </c>
      <c r="O119" s="1" t="s">
        <v>379</v>
      </c>
      <c r="P119" s="16">
        <f t="shared" si="5"/>
        <v>30</v>
      </c>
      <c r="Q119" s="2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6">
        <v>1</v>
      </c>
      <c r="X119" s="2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20">
        <v>1</v>
      </c>
      <c r="AI119" s="3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20">
        <v>1</v>
      </c>
    </row>
    <row r="120" spans="1:46" x14ac:dyDescent="0.45">
      <c r="A120" s="21">
        <v>116</v>
      </c>
      <c r="B120" s="7">
        <v>71</v>
      </c>
      <c r="C120" s="49"/>
      <c r="D120" s="49"/>
      <c r="E120" s="48">
        <v>2589802</v>
      </c>
      <c r="F120" s="52"/>
      <c r="G120" s="52"/>
      <c r="H120" s="52"/>
      <c r="I120" s="58"/>
      <c r="J120" s="3" t="s">
        <v>69</v>
      </c>
      <c r="K120" s="1" t="s">
        <v>375</v>
      </c>
      <c r="L120" s="1">
        <v>2589801</v>
      </c>
      <c r="M120" s="1">
        <v>1667.4</v>
      </c>
      <c r="N120" s="1" t="s">
        <v>380</v>
      </c>
      <c r="O120" s="1" t="s">
        <v>381</v>
      </c>
      <c r="P120" s="16">
        <f t="shared" si="5"/>
        <v>29</v>
      </c>
      <c r="Q120" s="2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6">
        <v>1</v>
      </c>
      <c r="X120" s="2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20">
        <v>1</v>
      </c>
      <c r="AI120" s="3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0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20">
        <v>1</v>
      </c>
    </row>
    <row r="121" spans="1:46" x14ac:dyDescent="0.45">
      <c r="A121" s="21">
        <v>117</v>
      </c>
      <c r="B121" s="7">
        <v>72</v>
      </c>
      <c r="C121" s="48"/>
      <c r="D121" s="52">
        <v>2590100</v>
      </c>
      <c r="E121" s="52"/>
      <c r="F121" s="52"/>
      <c r="G121" s="52"/>
      <c r="H121" s="52"/>
      <c r="I121" s="58"/>
      <c r="J121" s="3" t="s">
        <v>70</v>
      </c>
      <c r="K121" s="1" t="s">
        <v>382</v>
      </c>
      <c r="L121" s="1">
        <v>0</v>
      </c>
      <c r="M121" s="1">
        <v>2315</v>
      </c>
      <c r="N121" s="1" t="s">
        <v>383</v>
      </c>
      <c r="O121" s="1" t="s">
        <v>384</v>
      </c>
      <c r="P121" s="16">
        <f t="shared" si="5"/>
        <v>26</v>
      </c>
      <c r="Q121" s="21">
        <v>1</v>
      </c>
      <c r="R121" s="1">
        <v>1</v>
      </c>
      <c r="S121" s="1">
        <v>1</v>
      </c>
      <c r="T121" s="1">
        <v>0</v>
      </c>
      <c r="U121" s="1">
        <v>0</v>
      </c>
      <c r="V121" s="1">
        <v>0</v>
      </c>
      <c r="W121" s="16">
        <v>0</v>
      </c>
      <c r="X121" s="2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20">
        <v>1</v>
      </c>
      <c r="AI121" s="3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20">
        <v>1</v>
      </c>
    </row>
    <row r="122" spans="1:46" x14ac:dyDescent="0.45">
      <c r="A122" s="21">
        <v>118</v>
      </c>
      <c r="B122" s="7">
        <v>73</v>
      </c>
      <c r="C122" s="50"/>
      <c r="D122" s="44">
        <v>2590101</v>
      </c>
      <c r="E122" s="45"/>
      <c r="F122" s="45"/>
      <c r="G122" s="45"/>
      <c r="H122" s="45"/>
      <c r="I122" s="46"/>
      <c r="J122" s="3" t="s">
        <v>70</v>
      </c>
      <c r="K122" s="1" t="s">
        <v>382</v>
      </c>
      <c r="L122" s="1">
        <v>2590100</v>
      </c>
      <c r="M122" s="1">
        <v>1443</v>
      </c>
      <c r="N122" s="1" t="s">
        <v>385</v>
      </c>
      <c r="O122" s="1" t="s">
        <v>386</v>
      </c>
      <c r="P122" s="16">
        <f t="shared" si="5"/>
        <v>29</v>
      </c>
      <c r="Q122" s="2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6">
        <v>0</v>
      </c>
      <c r="X122" s="2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1</v>
      </c>
      <c r="AH122" s="20">
        <v>1</v>
      </c>
      <c r="AI122" s="3">
        <v>1</v>
      </c>
      <c r="AJ122" s="1">
        <v>1</v>
      </c>
      <c r="AK122" s="1">
        <v>1</v>
      </c>
      <c r="AL122" s="1">
        <v>1</v>
      </c>
      <c r="AM122" s="1">
        <v>1</v>
      </c>
      <c r="AN122" s="1">
        <v>1</v>
      </c>
      <c r="AO122" s="1">
        <v>1</v>
      </c>
      <c r="AP122" s="1">
        <v>1</v>
      </c>
      <c r="AQ122" s="1">
        <v>1</v>
      </c>
      <c r="AR122" s="1">
        <v>1</v>
      </c>
      <c r="AS122" s="1">
        <v>1</v>
      </c>
      <c r="AT122" s="20">
        <v>1</v>
      </c>
    </row>
    <row r="123" spans="1:46" x14ac:dyDescent="0.45">
      <c r="A123" s="21">
        <v>119</v>
      </c>
      <c r="B123" s="7">
        <v>74</v>
      </c>
      <c r="C123" s="44">
        <v>2590200</v>
      </c>
      <c r="D123" s="45"/>
      <c r="E123" s="45"/>
      <c r="F123" s="45"/>
      <c r="G123" s="45"/>
      <c r="H123" s="45"/>
      <c r="I123" s="46"/>
      <c r="J123" s="1" t="s">
        <v>71</v>
      </c>
      <c r="K123" s="1" t="s">
        <v>387</v>
      </c>
      <c r="L123" s="1">
        <v>0</v>
      </c>
      <c r="M123" s="1">
        <v>695</v>
      </c>
      <c r="N123" s="1" t="s">
        <v>388</v>
      </c>
      <c r="O123" s="1" t="s">
        <v>389</v>
      </c>
      <c r="P123" s="16">
        <f t="shared" si="5"/>
        <v>30</v>
      </c>
      <c r="Q123" s="2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6">
        <v>1</v>
      </c>
      <c r="X123" s="21">
        <v>1</v>
      </c>
      <c r="Y123" s="1">
        <v>1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20">
        <v>1</v>
      </c>
      <c r="AI123" s="3">
        <v>1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>
        <v>1</v>
      </c>
      <c r="AR123" s="1">
        <v>1</v>
      </c>
      <c r="AS123" s="1">
        <v>1</v>
      </c>
      <c r="AT123" s="20">
        <v>1</v>
      </c>
    </row>
    <row r="124" spans="1:46" x14ac:dyDescent="0.45">
      <c r="A124" s="21">
        <v>120</v>
      </c>
      <c r="B124" s="7">
        <v>75</v>
      </c>
      <c r="C124" s="44">
        <v>2590210</v>
      </c>
      <c r="D124" s="45"/>
      <c r="E124" s="45"/>
      <c r="F124" s="45"/>
      <c r="G124" s="45"/>
      <c r="H124" s="45"/>
      <c r="I124" s="46"/>
      <c r="J124" s="1" t="s">
        <v>72</v>
      </c>
      <c r="K124" s="1" t="s">
        <v>390</v>
      </c>
      <c r="L124" s="1">
        <v>0</v>
      </c>
      <c r="M124" s="1">
        <v>275</v>
      </c>
      <c r="N124" s="1" t="s">
        <v>391</v>
      </c>
      <c r="O124" s="1" t="s">
        <v>392</v>
      </c>
      <c r="P124" s="16">
        <f t="shared" si="5"/>
        <v>29</v>
      </c>
      <c r="Q124" s="21">
        <v>1</v>
      </c>
      <c r="R124" s="1">
        <v>0</v>
      </c>
      <c r="S124" s="1">
        <v>1</v>
      </c>
      <c r="T124" s="1">
        <v>1</v>
      </c>
      <c r="U124" s="1">
        <v>1</v>
      </c>
      <c r="V124" s="1">
        <v>1</v>
      </c>
      <c r="W124" s="16">
        <v>1</v>
      </c>
      <c r="X124" s="2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20">
        <v>1</v>
      </c>
      <c r="AI124" s="3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1</v>
      </c>
      <c r="AQ124" s="1">
        <v>1</v>
      </c>
      <c r="AR124" s="1">
        <v>1</v>
      </c>
      <c r="AS124" s="1">
        <v>1</v>
      </c>
      <c r="AT124" s="20">
        <v>1</v>
      </c>
    </row>
    <row r="125" spans="1:46" x14ac:dyDescent="0.45">
      <c r="A125" s="21">
        <v>121</v>
      </c>
      <c r="B125" s="7">
        <v>76</v>
      </c>
      <c r="C125" s="44">
        <v>2590220</v>
      </c>
      <c r="D125" s="45"/>
      <c r="E125" s="45"/>
      <c r="F125" s="45"/>
      <c r="G125" s="45"/>
      <c r="H125" s="45"/>
      <c r="I125" s="46"/>
      <c r="J125" s="1" t="s">
        <v>73</v>
      </c>
      <c r="K125" s="1" t="s">
        <v>393</v>
      </c>
      <c r="L125" s="1">
        <v>0</v>
      </c>
      <c r="M125" s="1">
        <v>906</v>
      </c>
      <c r="N125" s="1" t="s">
        <v>394</v>
      </c>
      <c r="O125" s="1" t="s">
        <v>395</v>
      </c>
      <c r="P125" s="16">
        <f t="shared" si="5"/>
        <v>27</v>
      </c>
      <c r="Q125" s="2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6">
        <v>1</v>
      </c>
      <c r="X125" s="2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20">
        <v>1</v>
      </c>
      <c r="AI125" s="3">
        <v>1</v>
      </c>
      <c r="AJ125" s="1">
        <v>1</v>
      </c>
      <c r="AK125" s="1">
        <v>1</v>
      </c>
      <c r="AL125" s="1">
        <v>1</v>
      </c>
      <c r="AM125" s="1">
        <v>1</v>
      </c>
      <c r="AN125" s="1">
        <v>1</v>
      </c>
      <c r="AO125" s="1">
        <v>1</v>
      </c>
      <c r="AP125" s="1">
        <v>1</v>
      </c>
      <c r="AQ125" s="1">
        <v>1</v>
      </c>
      <c r="AR125" s="1">
        <v>0</v>
      </c>
      <c r="AS125" s="1">
        <v>0</v>
      </c>
      <c r="AT125" s="20">
        <v>0</v>
      </c>
    </row>
    <row r="126" spans="1:46" x14ac:dyDescent="0.45">
      <c r="A126" s="22">
        <v>122</v>
      </c>
      <c r="B126" s="11" t="s">
        <v>433</v>
      </c>
      <c r="C126" s="59">
        <v>2590230</v>
      </c>
      <c r="D126" s="67"/>
      <c r="E126" s="67"/>
      <c r="F126" s="67"/>
      <c r="G126" s="67"/>
      <c r="H126" s="67"/>
      <c r="I126" s="68"/>
      <c r="J126" s="10" t="s">
        <v>74</v>
      </c>
      <c r="K126" s="10" t="s">
        <v>396</v>
      </c>
      <c r="L126" s="10">
        <v>0</v>
      </c>
      <c r="M126" s="10">
        <v>1348</v>
      </c>
      <c r="N126" s="10" t="s">
        <v>397</v>
      </c>
      <c r="O126" s="10" t="s">
        <v>398</v>
      </c>
      <c r="P126" s="18">
        <f t="shared" si="5"/>
        <v>22</v>
      </c>
      <c r="Q126" s="22">
        <v>1</v>
      </c>
      <c r="R126" s="10">
        <v>1</v>
      </c>
      <c r="S126" s="10">
        <v>1</v>
      </c>
      <c r="T126" s="10">
        <v>1</v>
      </c>
      <c r="U126" s="10">
        <v>1</v>
      </c>
      <c r="V126" s="10">
        <v>1</v>
      </c>
      <c r="W126" s="18">
        <v>1</v>
      </c>
      <c r="X126" s="22">
        <v>1</v>
      </c>
      <c r="Y126" s="10">
        <v>1</v>
      </c>
      <c r="Z126" s="10">
        <v>1</v>
      </c>
      <c r="AA126" s="10">
        <v>1</v>
      </c>
      <c r="AB126" s="10">
        <v>1</v>
      </c>
      <c r="AC126" s="10">
        <v>1</v>
      </c>
      <c r="AD126" s="10">
        <v>1</v>
      </c>
      <c r="AE126" s="10">
        <v>1</v>
      </c>
      <c r="AF126" s="10">
        <v>1</v>
      </c>
      <c r="AG126" s="10">
        <v>1</v>
      </c>
      <c r="AH126" s="23">
        <v>1</v>
      </c>
      <c r="AI126" s="13">
        <v>1</v>
      </c>
      <c r="AJ126" s="10">
        <v>1</v>
      </c>
      <c r="AK126" s="10">
        <v>1</v>
      </c>
      <c r="AL126" s="10">
        <v>0</v>
      </c>
      <c r="AM126" s="10">
        <v>1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23">
        <v>0</v>
      </c>
    </row>
    <row r="127" spans="1:46" x14ac:dyDescent="0.45">
      <c r="A127" s="21">
        <v>123</v>
      </c>
      <c r="B127" s="7">
        <v>77</v>
      </c>
      <c r="C127" s="48"/>
      <c r="D127" s="52">
        <v>2590300</v>
      </c>
      <c r="E127" s="52"/>
      <c r="F127" s="52"/>
      <c r="G127" s="52"/>
      <c r="H127" s="52"/>
      <c r="I127" s="58"/>
      <c r="J127" s="3" t="s">
        <v>75</v>
      </c>
      <c r="K127" s="1" t="s">
        <v>399</v>
      </c>
      <c r="L127" s="1">
        <v>0</v>
      </c>
      <c r="M127" s="1">
        <v>1856</v>
      </c>
      <c r="N127" s="1" t="s">
        <v>400</v>
      </c>
      <c r="O127" s="1" t="s">
        <v>401</v>
      </c>
      <c r="P127" s="16">
        <f t="shared" si="5"/>
        <v>29</v>
      </c>
      <c r="Q127" s="21">
        <v>1</v>
      </c>
      <c r="R127" s="1">
        <v>0</v>
      </c>
      <c r="S127" s="1">
        <v>1</v>
      </c>
      <c r="T127" s="1">
        <v>1</v>
      </c>
      <c r="U127" s="1">
        <v>1</v>
      </c>
      <c r="V127" s="1">
        <v>1</v>
      </c>
      <c r="W127" s="16">
        <v>1</v>
      </c>
      <c r="X127" s="2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20">
        <v>1</v>
      </c>
      <c r="AI127" s="3">
        <v>1</v>
      </c>
      <c r="AJ127" s="1">
        <v>1</v>
      </c>
      <c r="AK127" s="1">
        <v>1</v>
      </c>
      <c r="AL127" s="1">
        <v>1</v>
      </c>
      <c r="AM127" s="1">
        <v>1</v>
      </c>
      <c r="AN127" s="1">
        <v>1</v>
      </c>
      <c r="AO127" s="1">
        <v>1</v>
      </c>
      <c r="AP127" s="1">
        <v>1</v>
      </c>
      <c r="AQ127" s="1">
        <v>1</v>
      </c>
      <c r="AR127" s="1">
        <v>1</v>
      </c>
      <c r="AS127" s="1">
        <v>1</v>
      </c>
      <c r="AT127" s="20">
        <v>1</v>
      </c>
    </row>
    <row r="128" spans="1:46" x14ac:dyDescent="0.45">
      <c r="A128" s="21">
        <v>124</v>
      </c>
      <c r="B128" s="7">
        <v>78</v>
      </c>
      <c r="C128" s="49"/>
      <c r="D128" s="48">
        <v>2590301</v>
      </c>
      <c r="E128" s="52"/>
      <c r="F128" s="52"/>
      <c r="G128" s="52"/>
      <c r="H128" s="52"/>
      <c r="I128" s="58"/>
      <c r="J128" s="3" t="s">
        <v>75</v>
      </c>
      <c r="K128" s="1" t="s">
        <v>399</v>
      </c>
      <c r="L128" s="1">
        <v>2590300</v>
      </c>
      <c r="M128" s="1">
        <v>1137</v>
      </c>
      <c r="N128" s="1" t="s">
        <v>402</v>
      </c>
      <c r="O128" s="1" t="s">
        <v>403</v>
      </c>
      <c r="P128" s="16">
        <f t="shared" si="5"/>
        <v>28</v>
      </c>
      <c r="Q128" s="21">
        <v>0</v>
      </c>
      <c r="R128" s="1">
        <v>0</v>
      </c>
      <c r="S128" s="1">
        <v>1</v>
      </c>
      <c r="T128" s="1">
        <v>1</v>
      </c>
      <c r="U128" s="1">
        <v>1</v>
      </c>
      <c r="V128" s="1">
        <v>1</v>
      </c>
      <c r="W128" s="16">
        <v>1</v>
      </c>
      <c r="X128" s="2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20">
        <v>1</v>
      </c>
      <c r="AI128" s="3">
        <v>1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1</v>
      </c>
      <c r="AP128" s="1">
        <v>1</v>
      </c>
      <c r="AQ128" s="1">
        <v>1</v>
      </c>
      <c r="AR128" s="1">
        <v>1</v>
      </c>
      <c r="AS128" s="1">
        <v>1</v>
      </c>
      <c r="AT128" s="20">
        <v>1</v>
      </c>
    </row>
    <row r="129" spans="1:46" x14ac:dyDescent="0.45">
      <c r="A129" s="21">
        <v>125</v>
      </c>
      <c r="B129" s="7">
        <v>79</v>
      </c>
      <c r="C129" s="48"/>
      <c r="D129" s="52">
        <v>2590400</v>
      </c>
      <c r="E129" s="52"/>
      <c r="F129" s="52"/>
      <c r="G129" s="52"/>
      <c r="H129" s="52"/>
      <c r="I129" s="58"/>
      <c r="J129" s="3" t="s">
        <v>76</v>
      </c>
      <c r="K129" s="1" t="s">
        <v>404</v>
      </c>
      <c r="L129" s="1">
        <v>0</v>
      </c>
      <c r="M129" s="1">
        <v>2126</v>
      </c>
      <c r="N129" s="1" t="s">
        <v>405</v>
      </c>
      <c r="O129" s="1" t="s">
        <v>406</v>
      </c>
      <c r="P129" s="16">
        <f t="shared" si="5"/>
        <v>30</v>
      </c>
      <c r="Q129" s="2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6">
        <v>1</v>
      </c>
      <c r="X129" s="2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20">
        <v>1</v>
      </c>
      <c r="AI129" s="3">
        <v>1</v>
      </c>
      <c r="AJ129" s="1">
        <v>1</v>
      </c>
      <c r="AK129" s="1">
        <v>1</v>
      </c>
      <c r="AL129" s="1">
        <v>1</v>
      </c>
      <c r="AM129" s="1">
        <v>1</v>
      </c>
      <c r="AN129" s="1">
        <v>1</v>
      </c>
      <c r="AO129" s="1">
        <v>1</v>
      </c>
      <c r="AP129" s="1">
        <v>1</v>
      </c>
      <c r="AQ129" s="1">
        <v>1</v>
      </c>
      <c r="AR129" s="1">
        <v>1</v>
      </c>
      <c r="AS129" s="1">
        <v>1</v>
      </c>
      <c r="AT129" s="20">
        <v>1</v>
      </c>
    </row>
    <row r="130" spans="1:46" x14ac:dyDescent="0.45">
      <c r="A130" s="21">
        <v>126</v>
      </c>
      <c r="B130" s="7">
        <v>80</v>
      </c>
      <c r="C130" s="50"/>
      <c r="D130" s="44">
        <v>2590401</v>
      </c>
      <c r="E130" s="45"/>
      <c r="F130" s="45"/>
      <c r="G130" s="45"/>
      <c r="H130" s="45"/>
      <c r="I130" s="46"/>
      <c r="J130" s="3" t="s">
        <v>76</v>
      </c>
      <c r="K130" s="1" t="s">
        <v>404</v>
      </c>
      <c r="L130" s="1">
        <v>2590400</v>
      </c>
      <c r="M130" s="1">
        <v>860.6</v>
      </c>
      <c r="N130" s="1" t="s">
        <v>407</v>
      </c>
      <c r="O130" s="1" t="s">
        <v>408</v>
      </c>
      <c r="P130" s="16">
        <f t="shared" si="5"/>
        <v>30</v>
      </c>
      <c r="Q130" s="2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6">
        <v>1</v>
      </c>
      <c r="X130" s="2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20">
        <v>1</v>
      </c>
      <c r="AI130" s="3">
        <v>1</v>
      </c>
      <c r="AJ130" s="1">
        <v>1</v>
      </c>
      <c r="AK130" s="1">
        <v>1</v>
      </c>
      <c r="AL130" s="1">
        <v>1</v>
      </c>
      <c r="AM130" s="1">
        <v>1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1</v>
      </c>
      <c r="AT130" s="20">
        <v>1</v>
      </c>
    </row>
    <row r="131" spans="1:46" x14ac:dyDescent="0.45">
      <c r="A131" s="22">
        <v>127</v>
      </c>
      <c r="B131" s="11" t="s">
        <v>433</v>
      </c>
      <c r="C131" s="59">
        <v>2591100</v>
      </c>
      <c r="D131" s="67"/>
      <c r="E131" s="67"/>
      <c r="F131" s="67"/>
      <c r="G131" s="67"/>
      <c r="H131" s="67"/>
      <c r="I131" s="68"/>
      <c r="J131" s="10" t="s">
        <v>77</v>
      </c>
      <c r="K131" s="10" t="s">
        <v>409</v>
      </c>
      <c r="L131" s="10">
        <v>0</v>
      </c>
      <c r="M131" s="10">
        <v>1807.6</v>
      </c>
      <c r="N131" s="10" t="s">
        <v>410</v>
      </c>
      <c r="O131" s="10" t="s">
        <v>411</v>
      </c>
      <c r="P131" s="18">
        <f t="shared" si="5"/>
        <v>24</v>
      </c>
      <c r="Q131" s="22">
        <v>1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8">
        <v>0</v>
      </c>
      <c r="X131" s="22">
        <v>1</v>
      </c>
      <c r="Y131" s="10">
        <v>1</v>
      </c>
      <c r="Z131" s="10">
        <v>1</v>
      </c>
      <c r="AA131" s="10">
        <v>1</v>
      </c>
      <c r="AB131" s="10">
        <v>1</v>
      </c>
      <c r="AC131" s="10">
        <v>1</v>
      </c>
      <c r="AD131" s="10">
        <v>1</v>
      </c>
      <c r="AE131" s="10">
        <v>1</v>
      </c>
      <c r="AF131" s="10">
        <v>1</v>
      </c>
      <c r="AG131" s="10">
        <v>1</v>
      </c>
      <c r="AH131" s="23">
        <v>1</v>
      </c>
      <c r="AI131" s="13">
        <v>1</v>
      </c>
      <c r="AJ131" s="10">
        <v>1</v>
      </c>
      <c r="AK131" s="10">
        <v>1</v>
      </c>
      <c r="AL131" s="10">
        <v>1</v>
      </c>
      <c r="AM131" s="10">
        <v>1</v>
      </c>
      <c r="AN131" s="10">
        <v>1</v>
      </c>
      <c r="AO131" s="10">
        <v>1</v>
      </c>
      <c r="AP131" s="10">
        <v>1</v>
      </c>
      <c r="AQ131" s="10">
        <v>1</v>
      </c>
      <c r="AR131" s="10">
        <v>1</v>
      </c>
      <c r="AS131" s="10">
        <v>1</v>
      </c>
      <c r="AT131" s="23">
        <v>1</v>
      </c>
    </row>
    <row r="132" spans="1:46" x14ac:dyDescent="0.45">
      <c r="A132" s="21">
        <v>129</v>
      </c>
      <c r="B132" s="7">
        <v>82</v>
      </c>
      <c r="C132" s="48"/>
      <c r="D132" s="52">
        <v>2591201</v>
      </c>
      <c r="E132" s="52"/>
      <c r="F132" s="52"/>
      <c r="G132" s="52"/>
      <c r="H132" s="52"/>
      <c r="I132" s="58"/>
      <c r="J132" s="3" t="s">
        <v>78</v>
      </c>
      <c r="K132" s="1" t="s">
        <v>412</v>
      </c>
      <c r="L132" s="1">
        <v>0</v>
      </c>
      <c r="M132" s="1">
        <v>1462.7</v>
      </c>
      <c r="N132" s="1" t="s">
        <v>103</v>
      </c>
      <c r="O132" s="1" t="s">
        <v>415</v>
      </c>
      <c r="P132" s="16">
        <f>SUM(Q132:AT132)</f>
        <v>30</v>
      </c>
      <c r="Q132" s="2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6">
        <v>1</v>
      </c>
      <c r="X132" s="2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20">
        <v>1</v>
      </c>
      <c r="AI132" s="3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20">
        <v>1</v>
      </c>
    </row>
    <row r="133" spans="1:46" x14ac:dyDescent="0.45">
      <c r="A133" s="21">
        <v>128</v>
      </c>
      <c r="B133" s="7">
        <v>81</v>
      </c>
      <c r="C133" s="50"/>
      <c r="D133" s="44">
        <v>2591200</v>
      </c>
      <c r="E133" s="45"/>
      <c r="F133" s="45"/>
      <c r="G133" s="45"/>
      <c r="H133" s="45"/>
      <c r="I133" s="46"/>
      <c r="J133" s="3" t="s">
        <v>78</v>
      </c>
      <c r="K133" s="1" t="s">
        <v>412</v>
      </c>
      <c r="L133" s="1">
        <v>2591201</v>
      </c>
      <c r="M133" s="1">
        <v>944.6</v>
      </c>
      <c r="N133" s="1" t="s">
        <v>413</v>
      </c>
      <c r="O133" s="1" t="s">
        <v>414</v>
      </c>
      <c r="P133" s="16">
        <f t="shared" ref="P133" si="9">SUM(Q133:AT133)</f>
        <v>30</v>
      </c>
      <c r="Q133" s="2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6">
        <v>1</v>
      </c>
      <c r="X133" s="2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20">
        <v>1</v>
      </c>
      <c r="AI133" s="3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20">
        <v>1</v>
      </c>
    </row>
    <row r="134" spans="1:46" x14ac:dyDescent="0.45">
      <c r="A134" s="21">
        <v>130</v>
      </c>
      <c r="B134" s="7">
        <v>83</v>
      </c>
      <c r="C134" s="44">
        <v>2591210</v>
      </c>
      <c r="D134" s="45"/>
      <c r="E134" s="45"/>
      <c r="F134" s="45"/>
      <c r="G134" s="45"/>
      <c r="H134" s="45"/>
      <c r="I134" s="46"/>
      <c r="J134" s="1" t="s">
        <v>79</v>
      </c>
      <c r="K134" s="1" t="s">
        <v>416</v>
      </c>
      <c r="L134" s="1">
        <v>0</v>
      </c>
      <c r="M134" s="1">
        <v>445</v>
      </c>
      <c r="N134" s="1" t="s">
        <v>417</v>
      </c>
      <c r="O134" s="1" t="s">
        <v>418</v>
      </c>
      <c r="P134" s="16">
        <f t="shared" ref="P134:P136" si="10">SUM(Q134:AT134)</f>
        <v>30</v>
      </c>
      <c r="Q134" s="2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6">
        <v>1</v>
      </c>
      <c r="X134" s="2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20">
        <v>1</v>
      </c>
      <c r="AI134" s="3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20">
        <v>1</v>
      </c>
    </row>
    <row r="135" spans="1:46" x14ac:dyDescent="0.45">
      <c r="A135" s="22">
        <v>131</v>
      </c>
      <c r="B135" s="11" t="s">
        <v>433</v>
      </c>
      <c r="C135" s="62">
        <v>2591220</v>
      </c>
      <c r="D135" s="63"/>
      <c r="E135" s="63"/>
      <c r="F135" s="63"/>
      <c r="G135" s="63"/>
      <c r="H135" s="63"/>
      <c r="I135" s="64"/>
      <c r="J135" s="10" t="s">
        <v>80</v>
      </c>
      <c r="K135" s="10" t="s">
        <v>419</v>
      </c>
      <c r="L135" s="10">
        <v>0</v>
      </c>
      <c r="M135" s="10">
        <v>984</v>
      </c>
      <c r="N135" s="10" t="s">
        <v>420</v>
      </c>
      <c r="O135" s="10" t="s">
        <v>421</v>
      </c>
      <c r="P135" s="18">
        <f t="shared" si="10"/>
        <v>23</v>
      </c>
      <c r="Q135" s="22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8">
        <v>0</v>
      </c>
      <c r="X135" s="22">
        <v>1</v>
      </c>
      <c r="Y135" s="10">
        <v>1</v>
      </c>
      <c r="Z135" s="10">
        <v>1</v>
      </c>
      <c r="AA135" s="10">
        <v>1</v>
      </c>
      <c r="AB135" s="10">
        <v>1</v>
      </c>
      <c r="AC135" s="10">
        <v>1</v>
      </c>
      <c r="AD135" s="10">
        <v>1</v>
      </c>
      <c r="AE135" s="10">
        <v>1</v>
      </c>
      <c r="AF135" s="10">
        <v>1</v>
      </c>
      <c r="AG135" s="10">
        <v>1</v>
      </c>
      <c r="AH135" s="23">
        <v>1</v>
      </c>
      <c r="AI135" s="13">
        <v>1</v>
      </c>
      <c r="AJ135" s="10">
        <v>1</v>
      </c>
      <c r="AK135" s="10">
        <v>1</v>
      </c>
      <c r="AL135" s="10">
        <v>1</v>
      </c>
      <c r="AM135" s="10">
        <v>1</v>
      </c>
      <c r="AN135" s="10">
        <v>1</v>
      </c>
      <c r="AO135" s="10">
        <v>1</v>
      </c>
      <c r="AP135" s="10">
        <v>1</v>
      </c>
      <c r="AQ135" s="10">
        <v>1</v>
      </c>
      <c r="AR135" s="10">
        <v>1</v>
      </c>
      <c r="AS135" s="10">
        <v>1</v>
      </c>
      <c r="AT135" s="23">
        <v>1</v>
      </c>
    </row>
    <row r="136" spans="1:46" x14ac:dyDescent="0.45">
      <c r="A136" s="21">
        <v>132</v>
      </c>
      <c r="B136" s="7">
        <v>84</v>
      </c>
      <c r="C136" s="48">
        <v>2591230</v>
      </c>
      <c r="D136" s="52"/>
      <c r="E136" s="52"/>
      <c r="F136" s="52"/>
      <c r="G136" s="52"/>
      <c r="H136" s="52"/>
      <c r="I136" s="58"/>
      <c r="J136" s="1" t="s">
        <v>81</v>
      </c>
      <c r="K136" s="1" t="s">
        <v>422</v>
      </c>
      <c r="L136" s="1">
        <v>0</v>
      </c>
      <c r="M136" s="1">
        <v>765</v>
      </c>
      <c r="N136" s="1" t="s">
        <v>423</v>
      </c>
      <c r="O136" s="1" t="s">
        <v>424</v>
      </c>
      <c r="P136" s="16">
        <f t="shared" si="10"/>
        <v>30</v>
      </c>
      <c r="Q136" s="2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6">
        <v>1</v>
      </c>
      <c r="X136" s="2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20">
        <v>1</v>
      </c>
      <c r="AI136" s="3">
        <v>1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20">
        <v>1</v>
      </c>
    </row>
    <row r="137" spans="1:46" x14ac:dyDescent="0.45">
      <c r="A137" s="21">
        <v>134</v>
      </c>
      <c r="B137" s="7">
        <v>86</v>
      </c>
      <c r="C137" s="48"/>
      <c r="D137" s="52">
        <v>2591801</v>
      </c>
      <c r="E137" s="52"/>
      <c r="F137" s="52"/>
      <c r="G137" s="52"/>
      <c r="H137" s="52"/>
      <c r="I137" s="58"/>
      <c r="J137" s="3" t="s">
        <v>82</v>
      </c>
      <c r="K137" s="1" t="s">
        <v>425</v>
      </c>
      <c r="L137" s="1">
        <v>0</v>
      </c>
      <c r="M137" s="1">
        <v>3044</v>
      </c>
      <c r="N137" s="1" t="s">
        <v>428</v>
      </c>
      <c r="O137" s="1" t="s">
        <v>429</v>
      </c>
      <c r="P137" s="16">
        <f>SUM(Q137:AT137)</f>
        <v>30</v>
      </c>
      <c r="Q137" s="2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6">
        <v>1</v>
      </c>
      <c r="X137" s="2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20">
        <v>1</v>
      </c>
      <c r="AI137" s="3">
        <v>1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20">
        <v>1</v>
      </c>
    </row>
    <row r="138" spans="1:46" x14ac:dyDescent="0.45">
      <c r="A138" s="21">
        <v>133</v>
      </c>
      <c r="B138" s="7">
        <v>85</v>
      </c>
      <c r="C138" s="49"/>
      <c r="D138" s="48"/>
      <c r="E138" s="52">
        <v>2591800</v>
      </c>
      <c r="F138" s="52"/>
      <c r="G138" s="52"/>
      <c r="H138" s="52"/>
      <c r="I138" s="58"/>
      <c r="J138" s="3" t="s">
        <v>82</v>
      </c>
      <c r="K138" s="1" t="s">
        <v>425</v>
      </c>
      <c r="L138" s="1">
        <v>2591801</v>
      </c>
      <c r="M138" s="1">
        <v>2810</v>
      </c>
      <c r="N138" s="1" t="s">
        <v>426</v>
      </c>
      <c r="O138" s="1" t="s">
        <v>427</v>
      </c>
      <c r="P138" s="16">
        <f t="shared" ref="P138" si="11">SUM(Q138:AT138)</f>
        <v>30</v>
      </c>
      <c r="Q138" s="2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6">
        <v>1</v>
      </c>
      <c r="X138" s="2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20">
        <v>1</v>
      </c>
      <c r="AI138" s="3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>
        <v>1</v>
      </c>
      <c r="AR138" s="1">
        <v>1</v>
      </c>
      <c r="AS138" s="1">
        <v>1</v>
      </c>
      <c r="AT138" s="20">
        <v>1</v>
      </c>
    </row>
    <row r="139" spans="1:46" ht="18.600000000000001" thickBot="1" x14ac:dyDescent="0.5">
      <c r="A139" s="24">
        <v>135</v>
      </c>
      <c r="B139" s="25">
        <v>87</v>
      </c>
      <c r="C139" s="76"/>
      <c r="D139" s="76"/>
      <c r="E139" s="77">
        <v>2591802</v>
      </c>
      <c r="F139" s="78"/>
      <c r="G139" s="78"/>
      <c r="H139" s="78"/>
      <c r="I139" s="79"/>
      <c r="J139" s="27" t="s">
        <v>82</v>
      </c>
      <c r="K139" s="28" t="s">
        <v>425</v>
      </c>
      <c r="L139" s="28">
        <v>2591800</v>
      </c>
      <c r="M139" s="28">
        <v>2073.8000000000002</v>
      </c>
      <c r="N139" s="28" t="s">
        <v>430</v>
      </c>
      <c r="O139" s="28" t="s">
        <v>431</v>
      </c>
      <c r="P139" s="26">
        <f t="shared" ref="P139" si="12">SUM(Q139:AT139)</f>
        <v>30</v>
      </c>
      <c r="Q139" s="24">
        <v>1</v>
      </c>
      <c r="R139" s="28">
        <v>1</v>
      </c>
      <c r="S139" s="28">
        <v>1</v>
      </c>
      <c r="T139" s="28">
        <v>1</v>
      </c>
      <c r="U139" s="28">
        <v>1</v>
      </c>
      <c r="V139" s="28">
        <v>1</v>
      </c>
      <c r="W139" s="26">
        <v>1</v>
      </c>
      <c r="X139" s="24">
        <v>1</v>
      </c>
      <c r="Y139" s="28">
        <v>1</v>
      </c>
      <c r="Z139" s="28">
        <v>1</v>
      </c>
      <c r="AA139" s="28">
        <v>1</v>
      </c>
      <c r="AB139" s="28">
        <v>1</v>
      </c>
      <c r="AC139" s="28">
        <v>1</v>
      </c>
      <c r="AD139" s="28">
        <v>1</v>
      </c>
      <c r="AE139" s="28">
        <v>1</v>
      </c>
      <c r="AF139" s="28">
        <v>1</v>
      </c>
      <c r="AG139" s="28">
        <v>1</v>
      </c>
      <c r="AH139" s="29">
        <v>1</v>
      </c>
      <c r="AI139" s="27">
        <v>1</v>
      </c>
      <c r="AJ139" s="28">
        <v>1</v>
      </c>
      <c r="AK139" s="28">
        <v>1</v>
      </c>
      <c r="AL139" s="28">
        <v>1</v>
      </c>
      <c r="AM139" s="28">
        <v>1</v>
      </c>
      <c r="AN139" s="28">
        <v>1</v>
      </c>
      <c r="AO139" s="28">
        <v>1</v>
      </c>
      <c r="AP139" s="28">
        <v>1</v>
      </c>
      <c r="AQ139" s="28">
        <v>1</v>
      </c>
      <c r="AR139" s="28">
        <v>1</v>
      </c>
      <c r="AS139" s="28">
        <v>1</v>
      </c>
      <c r="AT139" s="29">
        <v>1</v>
      </c>
    </row>
    <row r="140" spans="1:46" x14ac:dyDescent="0.45">
      <c r="Q140" s="72" t="s">
        <v>436</v>
      </c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</row>
    <row r="141" spans="1:46" x14ac:dyDescent="0.45">
      <c r="Q141" s="73" t="s">
        <v>437</v>
      </c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5"/>
    </row>
  </sheetData>
  <mergeCells count="191">
    <mergeCell ref="Q140:AT140"/>
    <mergeCell ref="Q141:AT141"/>
    <mergeCell ref="C41:C49"/>
    <mergeCell ref="C56:C58"/>
    <mergeCell ref="G64:G67"/>
    <mergeCell ref="F63:F67"/>
    <mergeCell ref="E62:E67"/>
    <mergeCell ref="D61:D67"/>
    <mergeCell ref="C60:C67"/>
    <mergeCell ref="C109:C112"/>
    <mergeCell ref="C114:C117"/>
    <mergeCell ref="C134:I134"/>
    <mergeCell ref="C135:I135"/>
    <mergeCell ref="C136:I136"/>
    <mergeCell ref="C137:C139"/>
    <mergeCell ref="D138:D139"/>
    <mergeCell ref="E139:I139"/>
    <mergeCell ref="E138:I138"/>
    <mergeCell ref="D137:I137"/>
    <mergeCell ref="C129:C130"/>
    <mergeCell ref="D130:I130"/>
    <mergeCell ref="D129:I129"/>
    <mergeCell ref="C131:I131"/>
    <mergeCell ref="C132:C133"/>
    <mergeCell ref="D133:I133"/>
    <mergeCell ref="D132:I132"/>
    <mergeCell ref="C124:I124"/>
    <mergeCell ref="C125:I125"/>
    <mergeCell ref="C126:I126"/>
    <mergeCell ref="C127:C128"/>
    <mergeCell ref="D128:I128"/>
    <mergeCell ref="D127:I127"/>
    <mergeCell ref="C118:C120"/>
    <mergeCell ref="D119:D120"/>
    <mergeCell ref="E120:I120"/>
    <mergeCell ref="E119:I119"/>
    <mergeCell ref="D118:I118"/>
    <mergeCell ref="C121:C122"/>
    <mergeCell ref="D122:I122"/>
    <mergeCell ref="D121:I121"/>
    <mergeCell ref="D114:D117"/>
    <mergeCell ref="E115:E116"/>
    <mergeCell ref="E117:I117"/>
    <mergeCell ref="F116:I116"/>
    <mergeCell ref="F115:I115"/>
    <mergeCell ref="E114:I114"/>
    <mergeCell ref="D113:I113"/>
    <mergeCell ref="C123:I123"/>
    <mergeCell ref="C106:I106"/>
    <mergeCell ref="C107:I107"/>
    <mergeCell ref="D109:D112"/>
    <mergeCell ref="E110:E112"/>
    <mergeCell ref="F111:F112"/>
    <mergeCell ref="G112:I112"/>
    <mergeCell ref="G111:I111"/>
    <mergeCell ref="F110:I110"/>
    <mergeCell ref="E109:I109"/>
    <mergeCell ref="D108:I108"/>
    <mergeCell ref="C102:C104"/>
    <mergeCell ref="D103:D104"/>
    <mergeCell ref="E104:I104"/>
    <mergeCell ref="E103:I103"/>
    <mergeCell ref="D102:I102"/>
    <mergeCell ref="C105:I105"/>
    <mergeCell ref="G99:I99"/>
    <mergeCell ref="G98:I98"/>
    <mergeCell ref="F97:I97"/>
    <mergeCell ref="E96:I96"/>
    <mergeCell ref="D95:I95"/>
    <mergeCell ref="D101:I101"/>
    <mergeCell ref="C90:I90"/>
    <mergeCell ref="C91:I91"/>
    <mergeCell ref="C92:I92"/>
    <mergeCell ref="C93:I93"/>
    <mergeCell ref="C94:I94"/>
    <mergeCell ref="E97:E100"/>
    <mergeCell ref="F98:F99"/>
    <mergeCell ref="F100:I100"/>
    <mergeCell ref="C85:I85"/>
    <mergeCell ref="D86:I86"/>
    <mergeCell ref="D87:I87"/>
    <mergeCell ref="C88:I88"/>
    <mergeCell ref="C89:I89"/>
    <mergeCell ref="C79:I79"/>
    <mergeCell ref="C80:I80"/>
    <mergeCell ref="C81:I81"/>
    <mergeCell ref="C82:I82"/>
    <mergeCell ref="C83:I83"/>
    <mergeCell ref="C84:I84"/>
    <mergeCell ref="C72:I72"/>
    <mergeCell ref="C73:I73"/>
    <mergeCell ref="C74:C75"/>
    <mergeCell ref="D75:I75"/>
    <mergeCell ref="D74:I74"/>
    <mergeCell ref="C76:C78"/>
    <mergeCell ref="D77:D78"/>
    <mergeCell ref="E78:I78"/>
    <mergeCell ref="E77:I77"/>
    <mergeCell ref="D76:I76"/>
    <mergeCell ref="G63:I63"/>
    <mergeCell ref="H64:I64"/>
    <mergeCell ref="H68:I68"/>
    <mergeCell ref="C69:I69"/>
    <mergeCell ref="C70:I70"/>
    <mergeCell ref="C71:I71"/>
    <mergeCell ref="E56:I56"/>
    <mergeCell ref="D55:I55"/>
    <mergeCell ref="C59:I59"/>
    <mergeCell ref="D60:I60"/>
    <mergeCell ref="E61:I61"/>
    <mergeCell ref="F62:I62"/>
    <mergeCell ref="H65:H67"/>
    <mergeCell ref="C50:I50"/>
    <mergeCell ref="C51:I51"/>
    <mergeCell ref="C52:I52"/>
    <mergeCell ref="C53:I53"/>
    <mergeCell ref="C54:I54"/>
    <mergeCell ref="D56:D58"/>
    <mergeCell ref="E57:E58"/>
    <mergeCell ref="F58:I58"/>
    <mergeCell ref="F57:I57"/>
    <mergeCell ref="H47:I47"/>
    <mergeCell ref="H46:I46"/>
    <mergeCell ref="H45:I45"/>
    <mergeCell ref="H44:I44"/>
    <mergeCell ref="G43:I43"/>
    <mergeCell ref="F42:I42"/>
    <mergeCell ref="E37:I37"/>
    <mergeCell ref="C38:C39"/>
    <mergeCell ref="D38:I38"/>
    <mergeCell ref="D39:I39"/>
    <mergeCell ref="D41:D49"/>
    <mergeCell ref="D40:I40"/>
    <mergeCell ref="E41:I41"/>
    <mergeCell ref="E42:E47"/>
    <mergeCell ref="F43:F47"/>
    <mergeCell ref="E48:I48"/>
    <mergeCell ref="E49:I49"/>
    <mergeCell ref="G44:G47"/>
    <mergeCell ref="C31:C33"/>
    <mergeCell ref="D31:I31"/>
    <mergeCell ref="D32:D33"/>
    <mergeCell ref="E33:I33"/>
    <mergeCell ref="E32:I32"/>
    <mergeCell ref="C34:C37"/>
    <mergeCell ref="D34:I34"/>
    <mergeCell ref="D35:D37"/>
    <mergeCell ref="E35:I35"/>
    <mergeCell ref="E36:I36"/>
    <mergeCell ref="E14:I14"/>
    <mergeCell ref="D15:I15"/>
    <mergeCell ref="C26:I26"/>
    <mergeCell ref="C27:C30"/>
    <mergeCell ref="D29:D30"/>
    <mergeCell ref="E30:I30"/>
    <mergeCell ref="E29:I29"/>
    <mergeCell ref="D28:I28"/>
    <mergeCell ref="D27:I27"/>
    <mergeCell ref="C19:I19"/>
    <mergeCell ref="C20:I20"/>
    <mergeCell ref="C21:I21"/>
    <mergeCell ref="C22:C25"/>
    <mergeCell ref="D23:D24"/>
    <mergeCell ref="E23:I23"/>
    <mergeCell ref="D22:I22"/>
    <mergeCell ref="E24:I24"/>
    <mergeCell ref="D25:I25"/>
    <mergeCell ref="X3:AH3"/>
    <mergeCell ref="Q2:AT2"/>
    <mergeCell ref="Q3:W3"/>
    <mergeCell ref="AI3:AT3"/>
    <mergeCell ref="C16:I16"/>
    <mergeCell ref="C17:I17"/>
    <mergeCell ref="C18:I18"/>
    <mergeCell ref="C4:I4"/>
    <mergeCell ref="C9:C15"/>
    <mergeCell ref="D10:D14"/>
    <mergeCell ref="E11:E13"/>
    <mergeCell ref="F12:F13"/>
    <mergeCell ref="G13:I13"/>
    <mergeCell ref="G12:I12"/>
    <mergeCell ref="E10:I10"/>
    <mergeCell ref="F11:I11"/>
    <mergeCell ref="C5:C8"/>
    <mergeCell ref="D6:D8"/>
    <mergeCell ref="E7:E8"/>
    <mergeCell ref="F8:I8"/>
    <mergeCell ref="F7:I7"/>
    <mergeCell ref="E6:I6"/>
    <mergeCell ref="D5:I5"/>
    <mergeCell ref="D9:I9"/>
  </mergeCells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basinlist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伸一 奥川</cp:lastModifiedBy>
  <dcterms:created xsi:type="dcterms:W3CDTF">2021-08-24T07:19:09Z</dcterms:created>
  <dcterms:modified xsi:type="dcterms:W3CDTF">2026-08-07T02:53:44Z</dcterms:modified>
</cp:coreProperties>
</file>